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01d07ed6afce792/Desktop/"/>
    </mc:Choice>
  </mc:AlternateContent>
  <xr:revisionPtr revIDLastSave="54" documentId="8_{A1F3D386-29C9-41CF-8632-8658016E156A}" xr6:coauthVersionLast="47" xr6:coauthVersionMax="47" xr10:uidLastSave="{909F9D2C-8C4E-40DC-80FD-CDF0C753170D}"/>
  <bookViews>
    <workbookView xWindow="-108" yWindow="-108" windowWidth="23256" windowHeight="13176" xr2:uid="{00000000-000D-0000-FFFF-FFFF00000000}"/>
  </bookViews>
  <sheets>
    <sheet name="Dashbord" sheetId="6" r:id="rId1"/>
    <sheet name="Dataset" sheetId="1" r:id="rId2"/>
    <sheet name="Monthly Sales" sheetId="2" r:id="rId3"/>
    <sheet name="Descriptive Statistic" sheetId="3" r:id="rId4"/>
    <sheet name="Customers Sales Per Each" sheetId="4" r:id="rId5"/>
    <sheet name="Category Share" sheetId="5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<sst xmlns="http://schemas.openxmlformats.org/spreadsheetml/2006/main" count="1075" uniqueCount="95">
  <si>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</si>
  <si>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</si>
  <si>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</si>
  <si>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</si>
  <si>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</si>
  <si>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</si>
  <si>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</si>
  <si>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</si>
  <si>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</si>
  <si>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Month</t>
  </si>
  <si>
    <t>Timestamp</t>
  </si>
  <si>
    <t>CUST019</t>
  </si>
  <si>
    <t>James Davis</t>
  </si>
  <si>
    <t>West</t>
  </si>
  <si>
    <t>Books</t>
  </si>
  <si>
    <t>2024-04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</si>
  <si>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</si>
  <si>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</si>
  <si>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</si>
  <si>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</si>
  <si>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</si>
  <si>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</si>
  <si>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</si>
  <si>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</si>
  <si>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</si>
  <si>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</si>
  <si>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</si>
  <si>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</si>
  <si>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</si>
  <si>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</si>
  <si>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</si>
  <si>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</si>
  <si>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</si>
  <si>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</si>
  <si>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</si>
  <si>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</si>
  <si>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</si>
  <si>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</si>
  <si>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</si>
  <si>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</si>
  <si>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</si>
  <si>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</si>
  <si>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</si>
  <si>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</si>
  <si>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</si>
  <si>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</si>
  <si>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</si>
  <si>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</si>
  <si>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</si>
  <si>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</si>
  <si>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</si>
  <si>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2024-05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</si>
  <si>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</si>
  <si>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</si>
  <si>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</si>
  <si>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</si>
  <si>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</si>
  <si>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</si>
  <si>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</si>
  <si>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</si>
  <si>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</si>
  <si>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</si>
  <si>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</si>
  <si>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</si>
  <si>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</si>
  <si>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</si>
  <si>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2024-06</t>
  </si>
  <si>
    <t>Linda Davis</t>
  </si>
  <si>
    <t>CUST011</t>
  </si>
  <si>
    <t>Sarah Davis</t>
  </si>
  <si>
    <t>CUST002</t>
  </si>
  <si>
    <t>Emma Taylor</t>
  </si>
  <si>
    <t>CUST003</t>
  </si>
  <si>
    <t>2024-07</t>
  </si>
  <si>
    <t>CUST020</t>
  </si>
  <si>
    <t>Linda Moore</t>
  </si>
  <si>
    <t>CUST024</t>
  </si>
  <si>
    <t>2024-08</t>
  </si>
  <si>
    <t>David Anderson</t>
  </si>
  <si>
    <t>CUST004</t>
  </si>
  <si>
    <t>2024-09</t>
  </si>
  <si>
    <t>CUST013</t>
  </si>
  <si>
    <t>CUST027</t>
  </si>
  <si>
    <t>CUST018</t>
  </si>
  <si>
    <t>2024-10</t>
  </si>
  <si>
    <t>2024-11</t>
  </si>
  <si>
    <t>2024-12</t>
  </si>
  <si>
    <t>2025-01</t>
  </si>
  <si>
    <t>2025-02</t>
  </si>
  <si>
    <t>2025-03</t>
  </si>
  <si>
    <t>2025-04</t>
  </si>
  <si>
    <t>Sum of Sales</t>
  </si>
  <si>
    <t>Grand Total</t>
  </si>
  <si>
    <t>Sum of Quantity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</si>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</sst>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2" borderId="0" xfId="0" applyFill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3">
    <dxf>
      <numFmt numFmtId="164" formatCode="yyyy\-mm\-dd\ h:mm:ss"/>
    </dxf>
    <dxf>
      <alignment horizontal="center" vertical="bottom"/>
    </dxf>
    <dxf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391048292108364E-2"/>
          <c:y val="6.455399061032864E-2"/>
          <c:w val="0.73062426383981149"/>
          <c:h val="0.87089201877934275"/>
        </c:manualLayout>
      </c:layout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'Monthly Sales'!$B$2:$B$14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44-42A2-9CC2-4B7E46FCE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Pivot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'Descriptive Statistic'!$B$1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Statistic'!$B$2:$B$7</c:f>
              <c:numCache>
                <c:formatCode>General</c:formatCode>
                <c:ptCount val="6"/>
                <c:pt idx="0">
                  <c:v>0</c:v>
                </c:pt>
                <c:pt idx="1">
                  <c:v>523</c:v>
                </c:pt>
                <c:pt idx="2">
                  <c:v>386</c:v>
                </c:pt>
                <c:pt idx="3">
                  <c:v>418</c:v>
                </c:pt>
                <c:pt idx="4">
                  <c:v>354</c:v>
                </c:pt>
                <c:pt idx="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C-4447-B5B6-68D4D9A8FA0F}"/>
            </c:ext>
          </c:extLst>
        </c:ser>
        <c:ser>
          <c:idx val="1"/>
          <c:order val="1"/>
          <c:tx>
            <c:strRef>
              <c:f>'Descriptive Statistic'!$C$1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Statistic'!$C$2:$C$7</c:f>
              <c:numCache>
                <c:formatCode>General</c:formatCode>
                <c:ptCount val="6"/>
                <c:pt idx="0">
                  <c:v>0</c:v>
                </c:pt>
                <c:pt idx="1">
                  <c:v>47002.460000000006</c:v>
                </c:pt>
                <c:pt idx="2">
                  <c:v>41927.589999999989</c:v>
                </c:pt>
                <c:pt idx="3">
                  <c:v>41044.000000000007</c:v>
                </c:pt>
                <c:pt idx="4">
                  <c:v>36612.89</c:v>
                </c:pt>
                <c:pt idx="5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C-4447-B5B6-68D4D9A8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'Customers Sales Per Each'!$B$1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'Customers Sales Per Each'!$A$2:$A$11</c:f>
              <c:strCache>
                <c:ptCount val="10"/>
                <c:pt idx="0">
                  <c:v>Customer_Name</c:v>
                </c:pt>
                <c:pt idx="1">
                  <c:v>David Anderson</c:v>
                </c:pt>
                <c:pt idx="2">
                  <c:v>David Brown</c:v>
                </c:pt>
                <c:pt idx="3">
                  <c:v>David Davis</c:v>
                </c:pt>
                <c:pt idx="4">
                  <c:v>David Smith</c:v>
                </c:pt>
                <c:pt idx="5">
                  <c:v>David Thomas</c:v>
                </c:pt>
                <c:pt idx="6">
                  <c:v>Emma Davis</c:v>
                </c:pt>
                <c:pt idx="7">
                  <c:v>Emma Taylor</c:v>
                </c:pt>
                <c:pt idx="8">
                  <c:v>Emma Wilson</c:v>
                </c:pt>
                <c:pt idx="9">
                  <c:v>James Davis</c:v>
                </c:pt>
              </c:strCache>
            </c:strRef>
          </c:cat>
          <c:val>
            <c:numRef>
              <c:f>'Customers Sales Per Each'!$B$2:$B$11</c:f>
              <c:numCache>
                <c:formatCode>General</c:formatCode>
                <c:ptCount val="10"/>
                <c:pt idx="0">
                  <c:v>0</c:v>
                </c:pt>
                <c:pt idx="1">
                  <c:v>5465.71</c:v>
                </c:pt>
                <c:pt idx="2">
                  <c:v>11915.83</c:v>
                </c:pt>
                <c:pt idx="3">
                  <c:v>3819.14</c:v>
                </c:pt>
                <c:pt idx="4">
                  <c:v>1672.88</c:v>
                </c:pt>
                <c:pt idx="5">
                  <c:v>7020.3799999999992</c:v>
                </c:pt>
                <c:pt idx="6">
                  <c:v>11398.32</c:v>
                </c:pt>
                <c:pt idx="7">
                  <c:v>5014.96</c:v>
                </c:pt>
                <c:pt idx="8">
                  <c:v>8543.9699999999993</c:v>
                </c:pt>
                <c:pt idx="9">
                  <c:v>6255.7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3-4138-85B8-9164F87F8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'Category Share'!$B$1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'Category Share'!$A$2:$A$6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Share'!$B$2:$B$6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6-4BC3-AD5D-D803465A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'Monthly Sales'!$B$2:$B$14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70-44D3-B04D-6FBBC8101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Pivot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'Descriptive Statistic'!$B$1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Statistic'!$B$2:$B$7</c:f>
              <c:numCache>
                <c:formatCode>General</c:formatCode>
                <c:ptCount val="6"/>
                <c:pt idx="0">
                  <c:v>0</c:v>
                </c:pt>
                <c:pt idx="1">
                  <c:v>523</c:v>
                </c:pt>
                <c:pt idx="2">
                  <c:v>386</c:v>
                </c:pt>
                <c:pt idx="3">
                  <c:v>418</c:v>
                </c:pt>
                <c:pt idx="4">
                  <c:v>354</c:v>
                </c:pt>
                <c:pt idx="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B-45DC-9690-EE57EFE2BBC0}"/>
            </c:ext>
          </c:extLst>
        </c:ser>
        <c:ser>
          <c:idx val="1"/>
          <c:order val="1"/>
          <c:tx>
            <c:strRef>
              <c:f>'Descriptive Statistic'!$C$1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Statistic'!$C$2:$C$7</c:f>
              <c:numCache>
                <c:formatCode>General</c:formatCode>
                <c:ptCount val="6"/>
                <c:pt idx="0">
                  <c:v>0</c:v>
                </c:pt>
                <c:pt idx="1">
                  <c:v>47002.460000000006</c:v>
                </c:pt>
                <c:pt idx="2">
                  <c:v>41927.589999999989</c:v>
                </c:pt>
                <c:pt idx="3">
                  <c:v>41044.000000000007</c:v>
                </c:pt>
                <c:pt idx="4">
                  <c:v>36612.89</c:v>
                </c:pt>
                <c:pt idx="5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B-45DC-9690-EE57EFE2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'Customers Sales Per Each'!$B$1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'Customers Sales Per Each'!$A$2:$A$11</c:f>
              <c:strCache>
                <c:ptCount val="10"/>
                <c:pt idx="0">
                  <c:v>Customer_Name</c:v>
                </c:pt>
                <c:pt idx="1">
                  <c:v>David Anderson</c:v>
                </c:pt>
                <c:pt idx="2">
                  <c:v>David Brown</c:v>
                </c:pt>
                <c:pt idx="3">
                  <c:v>David Davis</c:v>
                </c:pt>
                <c:pt idx="4">
                  <c:v>David Smith</c:v>
                </c:pt>
                <c:pt idx="5">
                  <c:v>David Thomas</c:v>
                </c:pt>
                <c:pt idx="6">
                  <c:v>Emma Davis</c:v>
                </c:pt>
                <c:pt idx="7">
                  <c:v>Emma Taylor</c:v>
                </c:pt>
                <c:pt idx="8">
                  <c:v>Emma Wilson</c:v>
                </c:pt>
                <c:pt idx="9">
                  <c:v>James Davis</c:v>
                </c:pt>
              </c:strCache>
            </c:strRef>
          </c:cat>
          <c:val>
            <c:numRef>
              <c:f>'Customers Sales Per Each'!$B$2:$B$11</c:f>
              <c:numCache>
                <c:formatCode>General</c:formatCode>
                <c:ptCount val="10"/>
                <c:pt idx="0">
                  <c:v>0</c:v>
                </c:pt>
                <c:pt idx="1">
                  <c:v>5465.71</c:v>
                </c:pt>
                <c:pt idx="2">
                  <c:v>11915.83</c:v>
                </c:pt>
                <c:pt idx="3">
                  <c:v>3819.14</c:v>
                </c:pt>
                <c:pt idx="4">
                  <c:v>1672.88</c:v>
                </c:pt>
                <c:pt idx="5">
                  <c:v>7020.3799999999992</c:v>
                </c:pt>
                <c:pt idx="6">
                  <c:v>11398.32</c:v>
                </c:pt>
                <c:pt idx="7">
                  <c:v>5014.96</c:v>
                </c:pt>
                <c:pt idx="8">
                  <c:v>8543.9699999999993</c:v>
                </c:pt>
                <c:pt idx="9">
                  <c:v>6255.7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3-417B-954E-C5987E20D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'Category Share'!$B$1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'Category Share'!$A$2:$A$6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Share'!$B$2:$B$6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B-4586-B732-28DA9519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6</xdr:row>
      <xdr:rowOff>144780</xdr:rowOff>
    </xdr:from>
    <xdr:to>
      <xdr:col>9</xdr:col>
      <xdr:colOff>0</xdr:colOff>
      <xdr:row>20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BB3A56-6B3E-1604-289A-90339693E362}"/>
            </a:ext>
          </a:extLst>
        </xdr:cNvPr>
        <xdr:cNvSpPr/>
      </xdr:nvSpPr>
      <xdr:spPr>
        <a:xfrm>
          <a:off x="1303020" y="1242060"/>
          <a:ext cx="4183380" cy="24155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198120</xdr:colOff>
      <xdr:row>7</xdr:row>
      <xdr:rowOff>91440</xdr:rowOff>
    </xdr:from>
    <xdr:ext cx="3916680" cy="21564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9C544-CB1A-4610-A428-6A38F585B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11</xdr:col>
      <xdr:colOff>60960</xdr:colOff>
      <xdr:row>6</xdr:row>
      <xdr:rowOff>99060</xdr:rowOff>
    </xdr:from>
    <xdr:to>
      <xdr:col>18</xdr:col>
      <xdr:colOff>53340</xdr:colOff>
      <xdr:row>20</xdr:row>
      <xdr:rowOff>53340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FD76851-FA9F-5E41-8CDB-DEBD7D4EA767}"/>
            </a:ext>
          </a:extLst>
        </xdr:cNvPr>
        <xdr:cNvSpPr/>
      </xdr:nvSpPr>
      <xdr:spPr>
        <a:xfrm>
          <a:off x="6766560" y="1196340"/>
          <a:ext cx="4259580" cy="2514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11</xdr:col>
      <xdr:colOff>304800</xdr:colOff>
      <xdr:row>7</xdr:row>
      <xdr:rowOff>7620</xdr:rowOff>
    </xdr:from>
    <xdr:ext cx="3825240" cy="23164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966A77-1C87-4DD8-8E1C-23EE88071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2</xdr:col>
      <xdr:colOff>45720</xdr:colOff>
      <xdr:row>22</xdr:row>
      <xdr:rowOff>68580</xdr:rowOff>
    </xdr:from>
    <xdr:to>
      <xdr:col>9</xdr:col>
      <xdr:colOff>7620</xdr:colOff>
      <xdr:row>34</xdr:row>
      <xdr:rowOff>129540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3960ED-AB22-2BC2-25EF-A4F8217264C1}"/>
            </a:ext>
          </a:extLst>
        </xdr:cNvPr>
        <xdr:cNvSpPr/>
      </xdr:nvSpPr>
      <xdr:spPr>
        <a:xfrm>
          <a:off x="1264920" y="4091940"/>
          <a:ext cx="4229100" cy="2255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205740</xdr:colOff>
      <xdr:row>23</xdr:row>
      <xdr:rowOff>7619</xdr:rowOff>
    </xdr:from>
    <xdr:ext cx="3802380" cy="2019301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8C764F-D1A1-4B61-A8DE-00B50DF0A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10</xdr:col>
      <xdr:colOff>563880</xdr:colOff>
      <xdr:row>22</xdr:row>
      <xdr:rowOff>38100</xdr:rowOff>
    </xdr:from>
    <xdr:to>
      <xdr:col>18</xdr:col>
      <xdr:colOff>205740</xdr:colOff>
      <xdr:row>34</xdr:row>
      <xdr:rowOff>106680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E4006BD-F025-83F5-12EB-40AA4D738C45}"/>
            </a:ext>
          </a:extLst>
        </xdr:cNvPr>
        <xdr:cNvSpPr/>
      </xdr:nvSpPr>
      <xdr:spPr>
        <a:xfrm>
          <a:off x="6659880" y="4061460"/>
          <a:ext cx="4518660" cy="2263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11</xdr:col>
      <xdr:colOff>167640</xdr:colOff>
      <xdr:row>22</xdr:row>
      <xdr:rowOff>175261</xdr:rowOff>
    </xdr:from>
    <xdr:ext cx="4053840" cy="184404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61754F-5992-42DC-AAAE-4406E1CDE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2</xdr:row>
      <xdr:rowOff>0</xdr:rowOff>
    </xdr:from>
    <xdr:ext cx="5486400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76875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77401238426" createdVersion="8" refreshedVersion="8" minRefreshableVersion="3" recordCount="200" xr:uid="{00000000-000A-0000-FFFF-FFFFF01C0000}">
  <cacheSource type="worksheet">
    <worksheetSource ref="A1:K201" sheet="Dataset"/>
  </cacheSource>
  <cacheFields count="11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/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64.63" maxValue="769.46"/>
    </cacheField>
    <cacheField name="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  <cacheField name="Timestamp" numFmtId="0">
      <sharedItems containsSemiMixedTypes="0" containsString="0" containsNumber="1" minValue="46076.773856944441" maxValue="46076.7738569444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">
  <r>
    <x v="0"/>
    <x v="0"/>
    <s v="West"/>
    <x v="0"/>
    <n v="1036.09"/>
    <n v="4"/>
    <n v="0.2"/>
    <x v="0"/>
    <n v="331.55"/>
    <x v="0"/>
    <n v="46076.77385694444"/>
  </r>
  <r>
    <x v="1"/>
    <x v="1"/>
    <s v="West"/>
    <x v="1"/>
    <n v="1101.28"/>
    <n v="3"/>
    <n v="0.2"/>
    <x v="1"/>
    <n v="440.51"/>
    <x v="0"/>
    <n v="46076.77385694444"/>
  </r>
  <r>
    <x v="2"/>
    <x v="2"/>
    <s v="East"/>
    <x v="0"/>
    <n v="713.34"/>
    <n v="17"/>
    <n v="0"/>
    <x v="2"/>
    <n v="285.34"/>
    <x v="0"/>
    <n v="46076.77385694444"/>
  </r>
  <r>
    <x v="3"/>
    <x v="1"/>
    <s v="South"/>
    <x v="2"/>
    <n v="760.9299999999999"/>
    <n v="4"/>
    <n v="0.15"/>
    <x v="2"/>
    <n v="161.7"/>
    <x v="0"/>
    <n v="46076.77385694444"/>
  </r>
  <r>
    <x v="4"/>
    <x v="3"/>
    <s v="North"/>
    <x v="0"/>
    <n v="847"/>
    <n v="12"/>
    <n v="0.2"/>
    <x v="3"/>
    <n v="271.04"/>
    <x v="0"/>
    <n v="46076.77385694444"/>
  </r>
  <r>
    <x v="5"/>
    <x v="4"/>
    <s v="North"/>
    <x v="3"/>
    <n v="965.64"/>
    <n v="8"/>
    <n v="0.1"/>
    <x v="4"/>
    <n v="304.18"/>
    <x v="0"/>
    <n v="46076.77385694444"/>
  </r>
  <r>
    <x v="6"/>
    <x v="5"/>
    <s v="West"/>
    <x v="2"/>
    <n v="1317.53"/>
    <n v="12"/>
    <n v="0.05"/>
    <x v="4"/>
    <n v="312.91"/>
    <x v="0"/>
    <n v="46076.77385694444"/>
  </r>
  <r>
    <x v="7"/>
    <x v="6"/>
    <s v="East"/>
    <x v="3"/>
    <n v="1074.47"/>
    <n v="6"/>
    <n v="0.2"/>
    <x v="5"/>
    <n v="300.85"/>
    <x v="0"/>
    <n v="46076.77385694444"/>
  </r>
  <r>
    <x v="8"/>
    <x v="7"/>
    <s v="Central"/>
    <x v="0"/>
    <n v="501.54"/>
    <n v="11"/>
    <n v="0.05"/>
    <x v="5"/>
    <n v="190.59"/>
    <x v="0"/>
    <n v="46076.77385694444"/>
  </r>
  <r>
    <x v="9"/>
    <x v="8"/>
    <s v="Central"/>
    <x v="1"/>
    <n v="737.3099999999999"/>
    <n v="2"/>
    <n v="0.05"/>
    <x v="5"/>
    <n v="350.22"/>
    <x v="0"/>
    <n v="46076.77385694444"/>
  </r>
  <r>
    <x v="10"/>
    <x v="9"/>
    <s v="West"/>
    <x v="4"/>
    <n v="1572.82"/>
    <n v="6"/>
    <n v="0.05"/>
    <x v="6"/>
    <n v="672.38"/>
    <x v="0"/>
    <n v="46076.77385694444"/>
  </r>
  <r>
    <x v="10"/>
    <x v="8"/>
    <s v="Central"/>
    <x v="0"/>
    <n v="1343.13"/>
    <n v="14"/>
    <n v="0.15"/>
    <x v="7"/>
    <n v="456.66"/>
    <x v="0"/>
    <n v="46076.77385694444"/>
  </r>
  <r>
    <x v="5"/>
    <x v="4"/>
    <s v="Central"/>
    <x v="0"/>
    <n v="1191.58"/>
    <n v="14"/>
    <n v="0.05"/>
    <x v="8"/>
    <n v="452.8"/>
    <x v="0"/>
    <n v="46076.77385694444"/>
  </r>
  <r>
    <x v="11"/>
    <x v="1"/>
    <s v="West"/>
    <x v="3"/>
    <n v="822.28"/>
    <n v="7"/>
    <n v="0.05"/>
    <x v="8"/>
    <n v="273.41"/>
    <x v="0"/>
    <n v="46076.77385694444"/>
  </r>
  <r>
    <x v="12"/>
    <x v="10"/>
    <s v="North"/>
    <x v="3"/>
    <n v="521.67"/>
    <n v="15"/>
    <n v="0.15"/>
    <x v="9"/>
    <n v="155.2"/>
    <x v="0"/>
    <n v="46076.77385694444"/>
  </r>
  <r>
    <x v="3"/>
    <x v="11"/>
    <s v="South"/>
    <x v="2"/>
    <n v="1502.93"/>
    <n v="14"/>
    <n v="0.2"/>
    <x v="10"/>
    <n v="300.59"/>
    <x v="0"/>
    <n v="46076.77385694444"/>
  </r>
  <r>
    <x v="13"/>
    <x v="1"/>
    <s v="South"/>
    <x v="0"/>
    <n v="877.58"/>
    <n v="10"/>
    <n v="0.15"/>
    <x v="11"/>
    <n v="298.38"/>
    <x v="0"/>
    <n v="46076.77385694444"/>
  </r>
  <r>
    <x v="6"/>
    <x v="12"/>
    <s v="West"/>
    <x v="0"/>
    <n v="636.7"/>
    <n v="4"/>
    <n v="0.2"/>
    <x v="11"/>
    <n v="203.74"/>
    <x v="0"/>
    <n v="46076.77385694444"/>
  </r>
  <r>
    <x v="14"/>
    <x v="13"/>
    <s v="West"/>
    <x v="0"/>
    <n v="1506.14"/>
    <n v="13"/>
    <n v="0.2"/>
    <x v="12"/>
    <n v="481.96"/>
    <x v="0"/>
    <n v="46076.77385694444"/>
  </r>
  <r>
    <x v="7"/>
    <x v="6"/>
    <s v="Central"/>
    <x v="2"/>
    <n v="645.02"/>
    <n v="4"/>
    <n v="0"/>
    <x v="13"/>
    <n v="161.26"/>
    <x v="1"/>
    <n v="46076.77385694444"/>
  </r>
  <r>
    <x v="5"/>
    <x v="14"/>
    <s v="South"/>
    <x v="1"/>
    <n v="953.3"/>
    <n v="11"/>
    <n v="0"/>
    <x v="14"/>
    <n v="476.65"/>
    <x v="1"/>
    <n v="46076.77385694444"/>
  </r>
  <r>
    <x v="15"/>
    <x v="1"/>
    <s v="North"/>
    <x v="2"/>
    <n v="388.56"/>
    <n v="14"/>
    <n v="0.15"/>
    <x v="15"/>
    <n v="82.56999999999999"/>
    <x v="1"/>
    <n v="46076.77385694444"/>
  </r>
  <r>
    <x v="0"/>
    <x v="6"/>
    <s v="West"/>
    <x v="0"/>
    <n v="743.17"/>
    <n v="9"/>
    <n v="0"/>
    <x v="15"/>
    <n v="297.27"/>
    <x v="1"/>
    <n v="46076.77385694444"/>
  </r>
  <r>
    <x v="11"/>
    <x v="6"/>
    <s v="Central"/>
    <x v="2"/>
    <n v="706.37"/>
    <n v="6"/>
    <n v="0"/>
    <x v="15"/>
    <n v="176.59"/>
    <x v="1"/>
    <n v="46076.77385694444"/>
  </r>
  <r>
    <x v="1"/>
    <x v="6"/>
    <s v="Central"/>
    <x v="4"/>
    <n v="925.3099999999999"/>
    <n v="8"/>
    <n v="0.1"/>
    <x v="16"/>
    <n v="374.75"/>
    <x v="1"/>
    <n v="46076.77385694444"/>
  </r>
  <r>
    <x v="9"/>
    <x v="15"/>
    <s v="South"/>
    <x v="2"/>
    <n v="1173.12"/>
    <n v="18"/>
    <n v="0"/>
    <x v="16"/>
    <n v="293.28"/>
    <x v="1"/>
    <n v="46076.77385694444"/>
  </r>
  <r>
    <x v="4"/>
    <x v="16"/>
    <s v="North"/>
    <x v="3"/>
    <n v="675.54"/>
    <n v="17"/>
    <n v="0"/>
    <x v="17"/>
    <n v="236.44"/>
    <x v="1"/>
    <n v="46076.77385694444"/>
  </r>
  <r>
    <x v="5"/>
    <x v="1"/>
    <s v="Central"/>
    <x v="0"/>
    <n v="939.09"/>
    <n v="2"/>
    <n v="0.05"/>
    <x v="18"/>
    <n v="356.85"/>
    <x v="1"/>
    <n v="46076.77385694444"/>
  </r>
  <r>
    <x v="16"/>
    <x v="17"/>
    <s v="East"/>
    <x v="4"/>
    <n v="983.34"/>
    <n v="19"/>
    <n v="0.1"/>
    <x v="19"/>
    <n v="398.25"/>
    <x v="1"/>
    <n v="46076.77385694444"/>
  </r>
  <r>
    <x v="16"/>
    <x v="3"/>
    <s v="South"/>
    <x v="2"/>
    <n v="801.21"/>
    <n v="3"/>
    <n v="0.2"/>
    <x v="19"/>
    <n v="160.24"/>
    <x v="1"/>
    <n v="46076.77385694444"/>
  </r>
  <r>
    <x v="17"/>
    <x v="18"/>
    <s v="North"/>
    <x v="2"/>
    <n v="1450.71"/>
    <n v="5"/>
    <n v="0.1"/>
    <x v="20"/>
    <n v="326.41"/>
    <x v="1"/>
    <n v="46076.77385694444"/>
  </r>
  <r>
    <x v="15"/>
    <x v="19"/>
    <s v="Central"/>
    <x v="0"/>
    <n v="1023.21"/>
    <n v="18"/>
    <n v="0.05"/>
    <x v="21"/>
    <n v="388.82"/>
    <x v="1"/>
    <n v="46076.77385694444"/>
  </r>
  <r>
    <x v="6"/>
    <x v="13"/>
    <s v="West"/>
    <x v="3"/>
    <n v="853.72"/>
    <n v="5"/>
    <n v="0.15"/>
    <x v="21"/>
    <n v="253.98"/>
    <x v="1"/>
    <n v="46076.77385694444"/>
  </r>
  <r>
    <x v="18"/>
    <x v="11"/>
    <s v="South"/>
    <x v="2"/>
    <n v="967.89"/>
    <n v="10"/>
    <n v="0.1"/>
    <x v="22"/>
    <n v="217.78"/>
    <x v="1"/>
    <n v="46076.77385694444"/>
  </r>
  <r>
    <x v="19"/>
    <x v="17"/>
    <s v="North"/>
    <x v="4"/>
    <n v="1200.9"/>
    <n v="14"/>
    <n v="0.05"/>
    <x v="22"/>
    <n v="513.38"/>
    <x v="1"/>
    <n v="46076.77385694444"/>
  </r>
  <r>
    <x v="1"/>
    <x v="4"/>
    <s v="West"/>
    <x v="0"/>
    <n v="472.38"/>
    <n v="12"/>
    <n v="0.2"/>
    <x v="22"/>
    <n v="151.16"/>
    <x v="1"/>
    <n v="46076.77385694444"/>
  </r>
  <r>
    <x v="0"/>
    <x v="18"/>
    <s v="East"/>
    <x v="4"/>
    <n v="840.92"/>
    <n v="9"/>
    <n v="0.05"/>
    <x v="22"/>
    <n v="359.49"/>
    <x v="1"/>
    <n v="46076.77385694444"/>
  </r>
  <r>
    <x v="16"/>
    <x v="14"/>
    <s v="Central"/>
    <x v="3"/>
    <n v="1410.06"/>
    <n v="11"/>
    <n v="0.05"/>
    <x v="23"/>
    <n v="468.84"/>
    <x v="1"/>
    <n v="46076.77385694444"/>
  </r>
  <r>
    <x v="13"/>
    <x v="20"/>
    <s v="Central"/>
    <x v="3"/>
    <n v="773.09"/>
    <n v="13"/>
    <n v="0.15"/>
    <x v="23"/>
    <n v="229.99"/>
    <x v="1"/>
    <n v="46076.77385694444"/>
  </r>
  <r>
    <x v="20"/>
    <x v="21"/>
    <s v="East"/>
    <x v="0"/>
    <n v="580.4299999999999"/>
    <n v="19"/>
    <n v="0.15"/>
    <x v="24"/>
    <n v="197.35"/>
    <x v="1"/>
    <n v="46076.77385694444"/>
  </r>
  <r>
    <x v="3"/>
    <x v="10"/>
    <s v="South"/>
    <x v="0"/>
    <n v="1151.21"/>
    <n v="15"/>
    <n v="0.1"/>
    <x v="25"/>
    <n v="414.44"/>
    <x v="2"/>
    <n v="46076.77385694444"/>
  </r>
  <r>
    <x v="16"/>
    <x v="3"/>
    <s v="Central"/>
    <x v="4"/>
    <n v="1025.98"/>
    <n v="5"/>
    <n v="0.2"/>
    <x v="26"/>
    <n v="369.35"/>
    <x v="2"/>
    <n v="46076.77385694444"/>
  </r>
  <r>
    <x v="11"/>
    <x v="19"/>
    <s v="East"/>
    <x v="4"/>
    <n v="556.42"/>
    <n v="11"/>
    <n v="0.15"/>
    <x v="26"/>
    <n v="212.83"/>
    <x v="2"/>
    <n v="46076.77385694444"/>
  </r>
  <r>
    <x v="18"/>
    <x v="3"/>
    <s v="Central"/>
    <x v="0"/>
    <n v="840.85"/>
    <n v="19"/>
    <n v="0.1"/>
    <x v="27"/>
    <n v="302.71"/>
    <x v="2"/>
    <n v="46076.77385694444"/>
  </r>
  <r>
    <x v="7"/>
    <x v="21"/>
    <s v="North"/>
    <x v="3"/>
    <n v="1227.25"/>
    <n v="12"/>
    <n v="0.15"/>
    <x v="27"/>
    <n v="365.11"/>
    <x v="2"/>
    <n v="46076.77385694444"/>
  </r>
  <r>
    <x v="2"/>
    <x v="22"/>
    <s v="Central"/>
    <x v="2"/>
    <n v="856.7"/>
    <n v="2"/>
    <n v="0"/>
    <x v="28"/>
    <n v="214.18"/>
    <x v="2"/>
    <n v="46076.77385694444"/>
  </r>
  <r>
    <x v="17"/>
    <x v="19"/>
    <s v="Central"/>
    <x v="4"/>
    <n v="1225.42"/>
    <n v="8"/>
    <n v="0.15"/>
    <x v="28"/>
    <n v="468.72"/>
    <x v="2"/>
    <n v="46076.77385694444"/>
  </r>
  <r>
    <x v="21"/>
    <x v="6"/>
    <s v="North"/>
    <x v="4"/>
    <n v="1001.57"/>
    <n v="12"/>
    <n v="0"/>
    <x v="29"/>
    <n v="450.71"/>
    <x v="2"/>
    <n v="46076.77385694444"/>
  </r>
  <r>
    <x v="18"/>
    <x v="4"/>
    <s v="East"/>
    <x v="3"/>
    <n v="1186.85"/>
    <n v="19"/>
    <n v="0.2"/>
    <x v="30"/>
    <n v="332.32"/>
    <x v="2"/>
    <n v="46076.77385694444"/>
  </r>
  <r>
    <x v="13"/>
    <x v="16"/>
    <s v="South"/>
    <x v="2"/>
    <n v="775.45"/>
    <n v="6"/>
    <n v="0.1"/>
    <x v="31"/>
    <n v="174.48"/>
    <x v="2"/>
    <n v="46076.77385694444"/>
  </r>
  <r>
    <x v="5"/>
    <x v="7"/>
    <s v="South"/>
    <x v="2"/>
    <n v="1021.47"/>
    <n v="6"/>
    <n v="0.05"/>
    <x v="32"/>
    <n v="242.6"/>
    <x v="2"/>
    <n v="46076.77385694444"/>
  </r>
  <r>
    <x v="19"/>
    <x v="3"/>
    <s v="South"/>
    <x v="1"/>
    <n v="1226.62"/>
    <n v="7"/>
    <n v="0.1"/>
    <x v="33"/>
    <n v="551.98"/>
    <x v="2"/>
    <n v="46076.77385694444"/>
  </r>
  <r>
    <x v="4"/>
    <x v="23"/>
    <s v="South"/>
    <x v="3"/>
    <n v="1086.93"/>
    <n v="2"/>
    <n v="0"/>
    <x v="34"/>
    <n v="380.43"/>
    <x v="2"/>
    <n v="46076.77385694444"/>
  </r>
  <r>
    <x v="22"/>
    <x v="14"/>
    <s v="West"/>
    <x v="0"/>
    <n v="942.9"/>
    <n v="18"/>
    <n v="0.1"/>
    <x v="35"/>
    <n v="339.44"/>
    <x v="2"/>
    <n v="46076.77385694444"/>
  </r>
  <r>
    <x v="8"/>
    <x v="9"/>
    <s v="North"/>
    <x v="2"/>
    <n v="818.8"/>
    <n v="15"/>
    <n v="0.15"/>
    <x v="36"/>
    <n v="173.99"/>
    <x v="2"/>
    <n v="46076.77385694444"/>
  </r>
  <r>
    <x v="3"/>
    <x v="1"/>
    <s v="South"/>
    <x v="3"/>
    <n v="919.04"/>
    <n v="10"/>
    <n v="0.2"/>
    <x v="36"/>
    <n v="257.33"/>
    <x v="2"/>
    <n v="46076.77385694444"/>
  </r>
  <r>
    <x v="4"/>
    <x v="24"/>
    <s v="Central"/>
    <x v="0"/>
    <n v="973.26"/>
    <n v="11"/>
    <n v="0"/>
    <x v="37"/>
    <n v="389.3"/>
    <x v="2"/>
    <n v="46076.77385694444"/>
  </r>
  <r>
    <x v="12"/>
    <x v="23"/>
    <s v="North"/>
    <x v="2"/>
    <n v="741.61"/>
    <n v="1"/>
    <n v="0.2"/>
    <x v="38"/>
    <n v="148.32"/>
    <x v="2"/>
    <n v="46076.77385694444"/>
  </r>
  <r>
    <x v="23"/>
    <x v="9"/>
    <s v="North"/>
    <x v="0"/>
    <n v="1248.82"/>
    <n v="2"/>
    <n v="0.1"/>
    <x v="39"/>
    <n v="449.58"/>
    <x v="2"/>
    <n v="46076.77385694444"/>
  </r>
  <r>
    <x v="1"/>
    <x v="20"/>
    <s v="West"/>
    <x v="1"/>
    <n v="1360.36"/>
    <n v="17"/>
    <n v="0"/>
    <x v="39"/>
    <n v="680.1799999999999"/>
    <x v="2"/>
    <n v="46076.77385694444"/>
  </r>
  <r>
    <x v="18"/>
    <x v="6"/>
    <s v="East"/>
    <x v="0"/>
    <n v="1383.3"/>
    <n v="8"/>
    <n v="0.1"/>
    <x v="40"/>
    <n v="497.99"/>
    <x v="3"/>
    <n v="46076.77385694444"/>
  </r>
  <r>
    <x v="9"/>
    <x v="18"/>
    <s v="Central"/>
    <x v="4"/>
    <n v="488.99"/>
    <n v="9"/>
    <n v="0"/>
    <x v="41"/>
    <n v="220.05"/>
    <x v="3"/>
    <n v="46076.77385694444"/>
  </r>
  <r>
    <x v="7"/>
    <x v="6"/>
    <s v="East"/>
    <x v="3"/>
    <n v="933.71"/>
    <n v="17"/>
    <n v="0.1"/>
    <x v="42"/>
    <n v="294.12"/>
    <x v="3"/>
    <n v="46076.77385694444"/>
  </r>
  <r>
    <x v="23"/>
    <x v="0"/>
    <s v="West"/>
    <x v="2"/>
    <n v="1005.53"/>
    <n v="17"/>
    <n v="0.2"/>
    <x v="42"/>
    <n v="201.11"/>
    <x v="3"/>
    <n v="46076.77385694444"/>
  </r>
  <r>
    <x v="12"/>
    <x v="21"/>
    <s v="South"/>
    <x v="2"/>
    <n v="1100.1"/>
    <n v="5"/>
    <n v="0.05"/>
    <x v="43"/>
    <n v="261.27"/>
    <x v="3"/>
    <n v="46076.77385694444"/>
  </r>
  <r>
    <x v="23"/>
    <x v="3"/>
    <s v="North"/>
    <x v="3"/>
    <n v="1034.7"/>
    <n v="15"/>
    <n v="0.15"/>
    <x v="44"/>
    <n v="307.82"/>
    <x v="3"/>
    <n v="46076.77385694444"/>
  </r>
  <r>
    <x v="22"/>
    <x v="6"/>
    <s v="South"/>
    <x v="0"/>
    <n v="876.4400000000001"/>
    <n v="12"/>
    <n v="0.05"/>
    <x v="45"/>
    <n v="333.05"/>
    <x v="3"/>
    <n v="46076.77385694444"/>
  </r>
  <r>
    <x v="24"/>
    <x v="18"/>
    <s v="West"/>
    <x v="3"/>
    <n v="1371.34"/>
    <n v="5"/>
    <n v="0.05"/>
    <x v="45"/>
    <n v="455.97"/>
    <x v="3"/>
    <n v="46076.77385694444"/>
  </r>
  <r>
    <x v="18"/>
    <x v="13"/>
    <s v="North"/>
    <x v="2"/>
    <n v="1020.26"/>
    <n v="11"/>
    <n v="0.05"/>
    <x v="46"/>
    <n v="242.31"/>
    <x v="3"/>
    <n v="46076.77385694444"/>
  </r>
  <r>
    <x v="13"/>
    <x v="0"/>
    <s v="Central"/>
    <x v="4"/>
    <n v="804.8099999999999"/>
    <n v="1"/>
    <n v="0.05"/>
    <x v="47"/>
    <n v="344.06"/>
    <x v="3"/>
    <n v="46076.77385694444"/>
  </r>
  <r>
    <x v="4"/>
    <x v="18"/>
    <s v="Central"/>
    <x v="2"/>
    <n v="608.66"/>
    <n v="1"/>
    <n v="0.05"/>
    <x v="48"/>
    <n v="144.56"/>
    <x v="3"/>
    <n v="46076.77385694444"/>
  </r>
  <r>
    <x v="24"/>
    <x v="25"/>
    <s v="South"/>
    <x v="4"/>
    <n v="981.2"/>
    <n v="19"/>
    <n v="0"/>
    <x v="49"/>
    <n v="441.54"/>
    <x v="3"/>
    <n v="46076.77385694444"/>
  </r>
  <r>
    <x v="25"/>
    <x v="18"/>
    <s v="East"/>
    <x v="2"/>
    <n v="539.77"/>
    <n v="10"/>
    <n v="0.15"/>
    <x v="50"/>
    <n v="114.7"/>
    <x v="4"/>
    <n v="46076.77385694444"/>
  </r>
  <r>
    <x v="1"/>
    <x v="26"/>
    <s v="South"/>
    <x v="0"/>
    <n v="804.45"/>
    <n v="5"/>
    <n v="0.2"/>
    <x v="50"/>
    <n v="257.42"/>
    <x v="4"/>
    <n v="46076.77385694444"/>
  </r>
  <r>
    <x v="25"/>
    <x v="9"/>
    <s v="West"/>
    <x v="2"/>
    <n v="1526.6"/>
    <n v="13"/>
    <n v="0.2"/>
    <x v="51"/>
    <n v="305.32"/>
    <x v="4"/>
    <n v="46076.77385694444"/>
  </r>
  <r>
    <x v="1"/>
    <x v="5"/>
    <s v="West"/>
    <x v="2"/>
    <n v="1215.26"/>
    <n v="5"/>
    <n v="0.15"/>
    <x v="52"/>
    <n v="258.24"/>
    <x v="4"/>
    <n v="46076.77385694444"/>
  </r>
  <r>
    <x v="3"/>
    <x v="17"/>
    <s v="Central"/>
    <x v="3"/>
    <n v="1261.34"/>
    <n v="3"/>
    <n v="0"/>
    <x v="53"/>
    <n v="441.47"/>
    <x v="4"/>
    <n v="46076.77385694444"/>
  </r>
  <r>
    <x v="26"/>
    <x v="12"/>
    <s v="North"/>
    <x v="3"/>
    <n v="518.0700000000001"/>
    <n v="7"/>
    <n v="0.05"/>
    <x v="54"/>
    <n v="172.26"/>
    <x v="4"/>
    <n v="46076.77385694444"/>
  </r>
  <r>
    <x v="7"/>
    <x v="5"/>
    <s v="West"/>
    <x v="4"/>
    <n v="1111.34"/>
    <n v="1"/>
    <n v="0"/>
    <x v="55"/>
    <n v="500.1"/>
    <x v="4"/>
    <n v="46076.77385694444"/>
  </r>
  <r>
    <x v="4"/>
    <x v="6"/>
    <s v="East"/>
    <x v="1"/>
    <n v="1291.47"/>
    <n v="18"/>
    <n v="0.1"/>
    <x v="56"/>
    <n v="581.16"/>
    <x v="4"/>
    <n v="46076.77385694444"/>
  </r>
  <r>
    <x v="5"/>
    <x v="18"/>
    <s v="North"/>
    <x v="0"/>
    <n v="679.71"/>
    <n v="19"/>
    <n v="0"/>
    <x v="57"/>
    <n v="271.88"/>
    <x v="4"/>
    <n v="46076.77385694444"/>
  </r>
  <r>
    <x v="24"/>
    <x v="7"/>
    <s v="East"/>
    <x v="3"/>
    <n v="1143.69"/>
    <n v="17"/>
    <n v="0"/>
    <x v="57"/>
    <n v="400.29"/>
    <x v="4"/>
    <n v="46076.77385694444"/>
  </r>
  <r>
    <x v="16"/>
    <x v="15"/>
    <s v="Central"/>
    <x v="2"/>
    <n v="790.08"/>
    <n v="7"/>
    <n v="0.1"/>
    <x v="58"/>
    <n v="177.77"/>
    <x v="5"/>
    <n v="46076.77385694444"/>
  </r>
  <r>
    <x v="3"/>
    <x v="14"/>
    <s v="Central"/>
    <x v="0"/>
    <n v="1070.68"/>
    <n v="7"/>
    <n v="0.05"/>
    <x v="58"/>
    <n v="406.86"/>
    <x v="5"/>
    <n v="46076.77385694444"/>
  </r>
  <r>
    <x v="19"/>
    <x v="8"/>
    <s v="West"/>
    <x v="1"/>
    <n v="1168.89"/>
    <n v="4"/>
    <n v="0.1"/>
    <x v="59"/>
    <n v="526"/>
    <x v="5"/>
    <n v="46076.77385694444"/>
  </r>
  <r>
    <x v="23"/>
    <x v="0"/>
    <s v="South"/>
    <x v="2"/>
    <n v="1335.87"/>
    <n v="17"/>
    <n v="0"/>
    <x v="59"/>
    <n v="333.97"/>
    <x v="5"/>
    <n v="46076.77385694444"/>
  </r>
  <r>
    <x v="11"/>
    <x v="18"/>
    <s v="East"/>
    <x v="3"/>
    <n v="873.7"/>
    <n v="9"/>
    <n v="0"/>
    <x v="60"/>
    <n v="305.8"/>
    <x v="5"/>
    <n v="46076.77385694444"/>
  </r>
  <r>
    <x v="26"/>
    <x v="23"/>
    <s v="West"/>
    <x v="4"/>
    <n v="1443.98"/>
    <n v="19"/>
    <n v="0"/>
    <x v="61"/>
    <n v="649.79"/>
    <x v="5"/>
    <n v="46076.77385694444"/>
  </r>
  <r>
    <x v="11"/>
    <x v="3"/>
    <s v="East"/>
    <x v="4"/>
    <n v="1154.33"/>
    <n v="11"/>
    <n v="0.15"/>
    <x v="62"/>
    <n v="441.53"/>
    <x v="5"/>
    <n v="46076.77385694444"/>
  </r>
  <r>
    <x v="15"/>
    <x v="15"/>
    <s v="South"/>
    <x v="0"/>
    <n v="1264.49"/>
    <n v="16"/>
    <n v="0.05"/>
    <x v="62"/>
    <n v="480.51"/>
    <x v="5"/>
    <n v="46076.77385694444"/>
  </r>
  <r>
    <x v="5"/>
    <x v="24"/>
    <s v="West"/>
    <x v="3"/>
    <n v="1101.55"/>
    <n v="4"/>
    <n v="0.1"/>
    <x v="63"/>
    <n v="346.99"/>
    <x v="5"/>
    <n v="46076.77385694444"/>
  </r>
  <r>
    <x v="27"/>
    <x v="1"/>
    <s v="South"/>
    <x v="3"/>
    <n v="727.73"/>
    <n v="1"/>
    <n v="0.1"/>
    <x v="64"/>
    <n v="229.23"/>
    <x v="5"/>
    <n v="46076.77385694444"/>
  </r>
  <r>
    <x v="28"/>
    <x v="9"/>
    <s v="East"/>
    <x v="4"/>
    <n v="875.41"/>
    <n v="13"/>
    <n v="0.15"/>
    <x v="64"/>
    <n v="334.84"/>
    <x v="5"/>
    <n v="46076.77385694444"/>
  </r>
  <r>
    <x v="23"/>
    <x v="3"/>
    <s v="West"/>
    <x v="2"/>
    <n v="1158.94"/>
    <n v="19"/>
    <n v="0.2"/>
    <x v="65"/>
    <n v="231.79"/>
    <x v="5"/>
    <n v="46076.77385694444"/>
  </r>
  <r>
    <x v="29"/>
    <x v="13"/>
    <s v="South"/>
    <x v="0"/>
    <n v="966.3"/>
    <n v="2"/>
    <n v="0.15"/>
    <x v="66"/>
    <n v="328.54"/>
    <x v="5"/>
    <n v="46076.77385694444"/>
  </r>
  <r>
    <x v="24"/>
    <x v="2"/>
    <s v="South"/>
    <x v="0"/>
    <n v="917.48"/>
    <n v="6"/>
    <n v="0"/>
    <x v="67"/>
    <n v="366.99"/>
    <x v="5"/>
    <n v="46076.77385694444"/>
  </r>
  <r>
    <x v="12"/>
    <x v="21"/>
    <s v="West"/>
    <x v="3"/>
    <n v="1172.97"/>
    <n v="7"/>
    <n v="0.15"/>
    <x v="68"/>
    <n v="348.96"/>
    <x v="5"/>
    <n v="46076.77385694444"/>
  </r>
  <r>
    <x v="18"/>
    <x v="3"/>
    <s v="North"/>
    <x v="1"/>
    <n v="1205.82"/>
    <n v="11"/>
    <n v="0.1"/>
    <x v="68"/>
    <n v="542.62"/>
    <x v="5"/>
    <n v="46076.77385694444"/>
  </r>
  <r>
    <x v="2"/>
    <x v="23"/>
    <s v="West"/>
    <x v="4"/>
    <n v="826.9299999999999"/>
    <n v="10"/>
    <n v="0.2"/>
    <x v="69"/>
    <n v="297.69"/>
    <x v="5"/>
    <n v="46076.77385694444"/>
  </r>
  <r>
    <x v="23"/>
    <x v="3"/>
    <s v="Central"/>
    <x v="1"/>
    <n v="902.1900000000001"/>
    <n v="12"/>
    <n v="0"/>
    <x v="69"/>
    <n v="451.1"/>
    <x v="5"/>
    <n v="46076.77385694444"/>
  </r>
  <r>
    <x v="28"/>
    <x v="9"/>
    <s v="North"/>
    <x v="0"/>
    <n v="585.97"/>
    <n v="17"/>
    <n v="0.1"/>
    <x v="70"/>
    <n v="210.95"/>
    <x v="5"/>
    <n v="46076.77385694444"/>
  </r>
  <r>
    <x v="20"/>
    <x v="4"/>
    <s v="North"/>
    <x v="1"/>
    <n v="990.1900000000001"/>
    <n v="8"/>
    <n v="0.1"/>
    <x v="70"/>
    <n v="445.59"/>
    <x v="5"/>
    <n v="46076.77385694444"/>
  </r>
  <r>
    <x v="13"/>
    <x v="19"/>
    <s v="Central"/>
    <x v="2"/>
    <n v="1014.09"/>
    <n v="13"/>
    <n v="0.2"/>
    <x v="71"/>
    <n v="202.82"/>
    <x v="6"/>
    <n v="46076.77385694444"/>
  </r>
  <r>
    <x v="1"/>
    <x v="14"/>
    <s v="North"/>
    <x v="2"/>
    <n v="925.29"/>
    <n v="17"/>
    <n v="0"/>
    <x v="72"/>
    <n v="231.32"/>
    <x v="6"/>
    <n v="46076.77385694444"/>
  </r>
  <r>
    <x v="17"/>
    <x v="13"/>
    <s v="East"/>
    <x v="3"/>
    <n v="1286.54"/>
    <n v="8"/>
    <n v="0"/>
    <x v="73"/>
    <n v="450.29"/>
    <x v="6"/>
    <n v="46076.77385694444"/>
  </r>
  <r>
    <x v="10"/>
    <x v="23"/>
    <s v="South"/>
    <x v="0"/>
    <n v="961.62"/>
    <n v="8"/>
    <n v="0.2"/>
    <x v="74"/>
    <n v="307.72"/>
    <x v="6"/>
    <n v="46076.77385694444"/>
  </r>
  <r>
    <x v="13"/>
    <x v="3"/>
    <s v="East"/>
    <x v="0"/>
    <n v="1081.14"/>
    <n v="19"/>
    <n v="0.15"/>
    <x v="74"/>
    <n v="367.59"/>
    <x v="6"/>
    <n v="46076.77385694444"/>
  </r>
  <r>
    <x v="19"/>
    <x v="3"/>
    <s v="West"/>
    <x v="1"/>
    <n v="1923.66"/>
    <n v="9"/>
    <n v="0.2"/>
    <x v="75"/>
    <n v="769.46"/>
    <x v="6"/>
    <n v="46076.77385694444"/>
  </r>
  <r>
    <x v="17"/>
    <x v="24"/>
    <s v="Central"/>
    <x v="1"/>
    <n v="728.71"/>
    <n v="14"/>
    <n v="0.1"/>
    <x v="76"/>
    <n v="327.92"/>
    <x v="6"/>
    <n v="46076.77385694444"/>
  </r>
  <r>
    <x v="0"/>
    <x v="7"/>
    <s v="Central"/>
    <x v="1"/>
    <n v="1301.89"/>
    <n v="7"/>
    <n v="0.15"/>
    <x v="76"/>
    <n v="553.3"/>
    <x v="6"/>
    <n v="46076.77385694444"/>
  </r>
  <r>
    <x v="25"/>
    <x v="24"/>
    <s v="East"/>
    <x v="0"/>
    <n v="980.1799999999999"/>
    <n v="16"/>
    <n v="0.1"/>
    <x v="77"/>
    <n v="352.86"/>
    <x v="6"/>
    <n v="46076.77385694444"/>
  </r>
  <r>
    <x v="28"/>
    <x v="3"/>
    <s v="West"/>
    <x v="1"/>
    <n v="697.5700000000001"/>
    <n v="17"/>
    <n v="0.1"/>
    <x v="78"/>
    <n v="313.91"/>
    <x v="6"/>
    <n v="46076.77385694444"/>
  </r>
  <r>
    <x v="14"/>
    <x v="26"/>
    <s v="West"/>
    <x v="3"/>
    <n v="1193.61"/>
    <n v="1"/>
    <n v="0.15"/>
    <x v="78"/>
    <n v="355.1"/>
    <x v="6"/>
    <n v="46076.77385694444"/>
  </r>
  <r>
    <x v="8"/>
    <x v="9"/>
    <s v="South"/>
    <x v="2"/>
    <n v="771.02"/>
    <n v="1"/>
    <n v="0"/>
    <x v="79"/>
    <n v="192.76"/>
    <x v="6"/>
    <n v="46076.77385694444"/>
  </r>
  <r>
    <x v="23"/>
    <x v="25"/>
    <s v="North"/>
    <x v="1"/>
    <n v="661.09"/>
    <n v="1"/>
    <n v="0.2"/>
    <x v="80"/>
    <n v="264.44"/>
    <x v="6"/>
    <n v="46076.77385694444"/>
  </r>
  <r>
    <x v="1"/>
    <x v="18"/>
    <s v="West"/>
    <x v="2"/>
    <n v="688.83"/>
    <n v="15"/>
    <n v="0"/>
    <x v="81"/>
    <n v="172.21"/>
    <x v="6"/>
    <n v="46076.77385694444"/>
  </r>
  <r>
    <x v="27"/>
    <x v="5"/>
    <s v="Central"/>
    <x v="0"/>
    <n v="1249.1"/>
    <n v="4"/>
    <n v="0.05"/>
    <x v="82"/>
    <n v="474.66"/>
    <x v="7"/>
    <n v="46076.77385694444"/>
  </r>
  <r>
    <x v="13"/>
    <x v="3"/>
    <s v="East"/>
    <x v="4"/>
    <n v="1014.22"/>
    <n v="14"/>
    <n v="0.05"/>
    <x v="83"/>
    <n v="433.58"/>
    <x v="7"/>
    <n v="46076.77385694444"/>
  </r>
  <r>
    <x v="17"/>
    <x v="14"/>
    <s v="East"/>
    <x v="0"/>
    <n v="1010.58"/>
    <n v="2"/>
    <n v="0.15"/>
    <x v="84"/>
    <n v="343.6"/>
    <x v="7"/>
    <n v="46076.77385694444"/>
  </r>
  <r>
    <x v="7"/>
    <x v="20"/>
    <s v="North"/>
    <x v="3"/>
    <n v="957.29"/>
    <n v="4"/>
    <n v="0.05"/>
    <x v="84"/>
    <n v="318.3"/>
    <x v="7"/>
    <n v="46076.77385694444"/>
  </r>
  <r>
    <x v="6"/>
    <x v="12"/>
    <s v="North"/>
    <x v="3"/>
    <n v="1077.92"/>
    <n v="3"/>
    <n v="0.05"/>
    <x v="85"/>
    <n v="358.41"/>
    <x v="7"/>
    <n v="46076.77385694444"/>
  </r>
  <r>
    <x v="16"/>
    <x v="15"/>
    <s v="South"/>
    <x v="1"/>
    <n v="1163.01"/>
    <n v="5"/>
    <n v="0"/>
    <x v="86"/>
    <n v="581.5"/>
    <x v="7"/>
    <n v="46076.77385694444"/>
  </r>
  <r>
    <x v="17"/>
    <x v="12"/>
    <s v="East"/>
    <x v="4"/>
    <n v="1014.56"/>
    <n v="10"/>
    <n v="0.1"/>
    <x v="87"/>
    <n v="410.9"/>
    <x v="7"/>
    <n v="46076.77385694444"/>
  </r>
  <r>
    <x v="0"/>
    <x v="2"/>
    <s v="South"/>
    <x v="2"/>
    <n v="718.04"/>
    <n v="14"/>
    <n v="0"/>
    <x v="88"/>
    <n v="179.51"/>
    <x v="7"/>
    <n v="46076.77385694444"/>
  </r>
  <r>
    <x v="26"/>
    <x v="2"/>
    <s v="Central"/>
    <x v="1"/>
    <n v="1277.85"/>
    <n v="18"/>
    <n v="0.2"/>
    <x v="88"/>
    <n v="511.14"/>
    <x v="7"/>
    <n v="46076.77385694444"/>
  </r>
  <r>
    <x v="25"/>
    <x v="3"/>
    <s v="North"/>
    <x v="2"/>
    <n v="706.73"/>
    <n v="1"/>
    <n v="0.15"/>
    <x v="88"/>
    <n v="150.18"/>
    <x v="7"/>
    <n v="46076.77385694444"/>
  </r>
  <r>
    <x v="22"/>
    <x v="15"/>
    <s v="East"/>
    <x v="2"/>
    <n v="1410.59"/>
    <n v="15"/>
    <n v="0"/>
    <x v="89"/>
    <n v="352.65"/>
    <x v="7"/>
    <n v="46076.77385694444"/>
  </r>
  <r>
    <x v="8"/>
    <x v="21"/>
    <s v="South"/>
    <x v="3"/>
    <n v="1350.33"/>
    <n v="10"/>
    <n v="0"/>
    <x v="89"/>
    <n v="472.62"/>
    <x v="7"/>
    <n v="46076.77385694444"/>
  </r>
  <r>
    <x v="12"/>
    <x v="12"/>
    <s v="East"/>
    <x v="2"/>
    <n v="919.1799999999999"/>
    <n v="4"/>
    <n v="0.15"/>
    <x v="89"/>
    <n v="195.33"/>
    <x v="7"/>
    <n v="46076.77385694444"/>
  </r>
  <r>
    <x v="28"/>
    <x v="3"/>
    <s v="West"/>
    <x v="2"/>
    <n v="258.51"/>
    <n v="19"/>
    <n v="0"/>
    <x v="90"/>
    <n v="64.63"/>
    <x v="7"/>
    <n v="46076.77385694444"/>
  </r>
  <r>
    <x v="21"/>
    <x v="21"/>
    <s v="East"/>
    <x v="0"/>
    <n v="1213.48"/>
    <n v="5"/>
    <n v="0.05"/>
    <x v="90"/>
    <n v="461.12"/>
    <x v="7"/>
    <n v="46076.77385694444"/>
  </r>
  <r>
    <x v="18"/>
    <x v="9"/>
    <s v="Central"/>
    <x v="0"/>
    <n v="1150.28"/>
    <n v="8"/>
    <n v="0.05"/>
    <x v="91"/>
    <n v="437.11"/>
    <x v="7"/>
    <n v="46076.77385694444"/>
  </r>
  <r>
    <x v="10"/>
    <x v="26"/>
    <s v="South"/>
    <x v="3"/>
    <n v="853.86"/>
    <n v="8"/>
    <n v="0.1"/>
    <x v="91"/>
    <n v="268.97"/>
    <x v="7"/>
    <n v="46076.77385694444"/>
  </r>
  <r>
    <x v="29"/>
    <x v="12"/>
    <s v="South"/>
    <x v="2"/>
    <n v="1061.04"/>
    <n v="1"/>
    <n v="0"/>
    <x v="92"/>
    <n v="265.26"/>
    <x v="7"/>
    <n v="46076.77385694444"/>
  </r>
  <r>
    <x v="6"/>
    <x v="11"/>
    <s v="West"/>
    <x v="2"/>
    <n v="894.55"/>
    <n v="19"/>
    <n v="0.2"/>
    <x v="93"/>
    <n v="178.91"/>
    <x v="7"/>
    <n v="46076.77385694444"/>
  </r>
  <r>
    <x v="5"/>
    <x v="9"/>
    <s v="North"/>
    <x v="4"/>
    <n v="833.91"/>
    <n v="3"/>
    <n v="0.05"/>
    <x v="94"/>
    <n v="356.5"/>
    <x v="7"/>
    <n v="46076.77385694444"/>
  </r>
  <r>
    <x v="19"/>
    <x v="26"/>
    <s v="West"/>
    <x v="3"/>
    <n v="820.1900000000001"/>
    <n v="4"/>
    <n v="0.2"/>
    <x v="95"/>
    <n v="229.65"/>
    <x v="8"/>
    <n v="46076.77385694444"/>
  </r>
  <r>
    <x v="19"/>
    <x v="9"/>
    <s v="Central"/>
    <x v="2"/>
    <n v="511.74"/>
    <n v="8"/>
    <n v="0.05"/>
    <x v="96"/>
    <n v="121.54"/>
    <x v="8"/>
    <n v="46076.77385694444"/>
  </r>
  <r>
    <x v="22"/>
    <x v="21"/>
    <s v="South"/>
    <x v="3"/>
    <n v="806.03"/>
    <n v="19"/>
    <n v="0.05"/>
    <x v="97"/>
    <n v="268"/>
    <x v="8"/>
    <n v="46076.77385694444"/>
  </r>
  <r>
    <x v="6"/>
    <x v="4"/>
    <s v="Central"/>
    <x v="3"/>
    <n v="1432.47"/>
    <n v="16"/>
    <n v="0.15"/>
    <x v="98"/>
    <n v="426.16"/>
    <x v="8"/>
    <n v="46076.77385694444"/>
  </r>
  <r>
    <x v="28"/>
    <x v="5"/>
    <s v="Central"/>
    <x v="2"/>
    <n v="1488.58"/>
    <n v="10"/>
    <n v="0.15"/>
    <x v="98"/>
    <n v="316.32"/>
    <x v="8"/>
    <n v="46076.77385694444"/>
  </r>
  <r>
    <x v="7"/>
    <x v="24"/>
    <s v="East"/>
    <x v="0"/>
    <n v="1231.26"/>
    <n v="9"/>
    <n v="0"/>
    <x v="99"/>
    <n v="492.5"/>
    <x v="8"/>
    <n v="46076.77385694444"/>
  </r>
  <r>
    <x v="7"/>
    <x v="11"/>
    <s v="West"/>
    <x v="2"/>
    <n v="1161.67"/>
    <n v="19"/>
    <n v="0.2"/>
    <x v="100"/>
    <n v="232.33"/>
    <x v="8"/>
    <n v="46076.77385694444"/>
  </r>
  <r>
    <x v="15"/>
    <x v="12"/>
    <s v="Central"/>
    <x v="4"/>
    <n v="388.23"/>
    <n v="16"/>
    <n v="0.05"/>
    <x v="101"/>
    <n v="165.97"/>
    <x v="8"/>
    <n v="46076.77385694444"/>
  </r>
  <r>
    <x v="26"/>
    <x v="6"/>
    <s v="North"/>
    <x v="1"/>
    <n v="1589.42"/>
    <n v="6"/>
    <n v="0.15"/>
    <x v="102"/>
    <n v="675.5"/>
    <x v="8"/>
    <n v="46076.77385694444"/>
  </r>
  <r>
    <x v="6"/>
    <x v="26"/>
    <s v="North"/>
    <x v="1"/>
    <n v="336.66"/>
    <n v="13"/>
    <n v="0.2"/>
    <x v="102"/>
    <n v="134.66"/>
    <x v="8"/>
    <n v="46076.77385694444"/>
  </r>
  <r>
    <x v="15"/>
    <x v="3"/>
    <s v="West"/>
    <x v="0"/>
    <n v="1353.79"/>
    <n v="14"/>
    <n v="0.1"/>
    <x v="103"/>
    <n v="487.36"/>
    <x v="8"/>
    <n v="46076.77385694444"/>
  </r>
  <r>
    <x v="21"/>
    <x v="25"/>
    <s v="Central"/>
    <x v="1"/>
    <n v="662.61"/>
    <n v="11"/>
    <n v="0.05"/>
    <x v="104"/>
    <n v="314.74"/>
    <x v="9"/>
    <n v="46076.77385694444"/>
  </r>
  <r>
    <x v="16"/>
    <x v="14"/>
    <s v="North"/>
    <x v="4"/>
    <n v="309.42"/>
    <n v="1"/>
    <n v="0.2"/>
    <x v="104"/>
    <n v="111.39"/>
    <x v="9"/>
    <n v="46076.77385694444"/>
  </r>
  <r>
    <x v="21"/>
    <x v="5"/>
    <s v="North"/>
    <x v="0"/>
    <n v="884.63"/>
    <n v="18"/>
    <n v="0.1"/>
    <x v="105"/>
    <n v="318.47"/>
    <x v="9"/>
    <n v="46076.77385694444"/>
  </r>
  <r>
    <x v="16"/>
    <x v="3"/>
    <s v="Central"/>
    <x v="4"/>
    <n v="745.05"/>
    <n v="10"/>
    <n v="0.1"/>
    <x v="106"/>
    <n v="301.75"/>
    <x v="9"/>
    <n v="46076.77385694444"/>
  </r>
  <r>
    <x v="20"/>
    <x v="2"/>
    <s v="South"/>
    <x v="1"/>
    <n v="870.23"/>
    <n v="5"/>
    <n v="0.05"/>
    <x v="106"/>
    <n v="413.36"/>
    <x v="9"/>
    <n v="46076.77385694444"/>
  </r>
  <r>
    <x v="9"/>
    <x v="5"/>
    <s v="West"/>
    <x v="3"/>
    <n v="862.1900000000001"/>
    <n v="18"/>
    <n v="0.05"/>
    <x v="107"/>
    <n v="286.68"/>
    <x v="9"/>
    <n v="46076.77385694444"/>
  </r>
  <r>
    <x v="27"/>
    <x v="20"/>
    <s v="North"/>
    <x v="1"/>
    <n v="1171.18"/>
    <n v="19"/>
    <n v="0.05"/>
    <x v="108"/>
    <n v="556.3099999999999"/>
    <x v="9"/>
    <n v="46076.77385694444"/>
  </r>
  <r>
    <x v="19"/>
    <x v="1"/>
    <s v="South"/>
    <x v="3"/>
    <n v="1054.56"/>
    <n v="11"/>
    <n v="0.1"/>
    <x v="109"/>
    <n v="332.19"/>
    <x v="9"/>
    <n v="46076.77385694444"/>
  </r>
  <r>
    <x v="19"/>
    <x v="3"/>
    <s v="North"/>
    <x v="2"/>
    <n v="1681.21"/>
    <n v="5"/>
    <n v="0.2"/>
    <x v="110"/>
    <n v="336.24"/>
    <x v="9"/>
    <n v="46076.77385694444"/>
  </r>
  <r>
    <x v="19"/>
    <x v="8"/>
    <s v="West"/>
    <x v="1"/>
    <n v="379.77"/>
    <n v="9"/>
    <n v="0.05"/>
    <x v="111"/>
    <n v="180.39"/>
    <x v="9"/>
    <n v="46076.77385694444"/>
  </r>
  <r>
    <x v="13"/>
    <x v="12"/>
    <s v="Central"/>
    <x v="1"/>
    <n v="1076.33"/>
    <n v="2"/>
    <n v="0.1"/>
    <x v="112"/>
    <n v="484.35"/>
    <x v="9"/>
    <n v="46076.77385694444"/>
  </r>
  <r>
    <x v="13"/>
    <x v="6"/>
    <s v="Central"/>
    <x v="4"/>
    <n v="1250.71"/>
    <n v="7"/>
    <n v="0"/>
    <x v="112"/>
    <n v="562.8200000000001"/>
    <x v="9"/>
    <n v="46076.77385694444"/>
  </r>
  <r>
    <x v="11"/>
    <x v="2"/>
    <s v="South"/>
    <x v="1"/>
    <n v="1118.34"/>
    <n v="6"/>
    <n v="0.2"/>
    <x v="112"/>
    <n v="447.34"/>
    <x v="9"/>
    <n v="46076.77385694444"/>
  </r>
  <r>
    <x v="25"/>
    <x v="17"/>
    <s v="North"/>
    <x v="1"/>
    <n v="1622.62"/>
    <n v="12"/>
    <n v="0.2"/>
    <x v="113"/>
    <n v="649.05"/>
    <x v="9"/>
    <n v="46076.77385694444"/>
  </r>
  <r>
    <x v="29"/>
    <x v="14"/>
    <s v="North"/>
    <x v="0"/>
    <n v="640.64"/>
    <n v="11"/>
    <n v="0.2"/>
    <x v="114"/>
    <n v="205"/>
    <x v="9"/>
    <n v="46076.77385694444"/>
  </r>
  <r>
    <x v="4"/>
    <x v="11"/>
    <s v="West"/>
    <x v="1"/>
    <n v="585.16"/>
    <n v="17"/>
    <n v="0.1"/>
    <x v="115"/>
    <n v="263.32"/>
    <x v="9"/>
    <n v="46076.77385694444"/>
  </r>
  <r>
    <x v="4"/>
    <x v="6"/>
    <s v="East"/>
    <x v="1"/>
    <n v="1109.98"/>
    <n v="5"/>
    <n v="0.2"/>
    <x v="116"/>
    <n v="443.99"/>
    <x v="10"/>
    <n v="46076.77385694444"/>
  </r>
  <r>
    <x v="19"/>
    <x v="12"/>
    <s v="East"/>
    <x v="0"/>
    <n v="1098.08"/>
    <n v="9"/>
    <n v="0.1"/>
    <x v="117"/>
    <n v="395.31"/>
    <x v="10"/>
    <n v="46076.77385694444"/>
  </r>
  <r>
    <x v="22"/>
    <x v="14"/>
    <s v="West"/>
    <x v="4"/>
    <n v="827.25"/>
    <n v="7"/>
    <n v="0.1"/>
    <x v="118"/>
    <n v="335.04"/>
    <x v="10"/>
    <n v="46076.77385694444"/>
  </r>
  <r>
    <x v="25"/>
    <x v="5"/>
    <s v="Central"/>
    <x v="1"/>
    <n v="741.88"/>
    <n v="16"/>
    <n v="0.1"/>
    <x v="119"/>
    <n v="333.85"/>
    <x v="10"/>
    <n v="46076.77385694444"/>
  </r>
  <r>
    <x v="26"/>
    <x v="0"/>
    <s v="East"/>
    <x v="4"/>
    <n v="1311.26"/>
    <n v="6"/>
    <n v="0.1"/>
    <x v="120"/>
    <n v="531.0599999999999"/>
    <x v="10"/>
    <n v="46076.77385694444"/>
  </r>
  <r>
    <x v="26"/>
    <x v="6"/>
    <s v="South"/>
    <x v="4"/>
    <n v="573.3200000000001"/>
    <n v="19"/>
    <n v="0.1"/>
    <x v="121"/>
    <n v="232.19"/>
    <x v="10"/>
    <n v="46076.77385694444"/>
  </r>
  <r>
    <x v="16"/>
    <x v="3"/>
    <s v="West"/>
    <x v="2"/>
    <n v="1115.22"/>
    <n v="14"/>
    <n v="0.2"/>
    <x v="122"/>
    <n v="223.04"/>
    <x v="10"/>
    <n v="46076.77385694444"/>
  </r>
  <r>
    <x v="1"/>
    <x v="12"/>
    <s v="North"/>
    <x v="1"/>
    <n v="845.84"/>
    <n v="4"/>
    <n v="0"/>
    <x v="123"/>
    <n v="422.92"/>
    <x v="10"/>
    <n v="46076.77385694444"/>
  </r>
  <r>
    <x v="7"/>
    <x v="18"/>
    <s v="West"/>
    <x v="2"/>
    <n v="1029.8"/>
    <n v="3"/>
    <n v="0"/>
    <x v="124"/>
    <n v="257.45"/>
    <x v="10"/>
    <n v="46076.77385694444"/>
  </r>
  <r>
    <x v="8"/>
    <x v="6"/>
    <s v="North"/>
    <x v="0"/>
    <n v="1189.83"/>
    <n v="2"/>
    <n v="0.2"/>
    <x v="125"/>
    <n v="380.75"/>
    <x v="10"/>
    <n v="46076.77385694444"/>
  </r>
  <r>
    <x v="23"/>
    <x v="11"/>
    <s v="South"/>
    <x v="0"/>
    <n v="704.28"/>
    <n v="15"/>
    <n v="0.2"/>
    <x v="126"/>
    <n v="225.37"/>
    <x v="10"/>
    <n v="46076.77385694444"/>
  </r>
  <r>
    <x v="22"/>
    <x v="13"/>
    <s v="Central"/>
    <x v="4"/>
    <n v="1618.22"/>
    <n v="12"/>
    <n v="0.2"/>
    <x v="126"/>
    <n v="582.5599999999999"/>
    <x v="10"/>
    <n v="46076.77385694444"/>
  </r>
  <r>
    <x v="27"/>
    <x v="17"/>
    <s v="Central"/>
    <x v="0"/>
    <n v="1014.43"/>
    <n v="2"/>
    <n v="0.15"/>
    <x v="127"/>
    <n v="344.91"/>
    <x v="10"/>
    <n v="46076.77385694444"/>
  </r>
  <r>
    <x v="29"/>
    <x v="6"/>
    <s v="Central"/>
    <x v="1"/>
    <n v="826.97"/>
    <n v="18"/>
    <n v="0.2"/>
    <x v="128"/>
    <n v="330.79"/>
    <x v="10"/>
    <n v="46076.77385694444"/>
  </r>
  <r>
    <x v="2"/>
    <x v="6"/>
    <s v="Central"/>
    <x v="1"/>
    <n v="1022.23"/>
    <n v="8"/>
    <n v="0.1"/>
    <x v="129"/>
    <n v="460"/>
    <x v="11"/>
    <n v="46076.77385694444"/>
  </r>
  <r>
    <x v="26"/>
    <x v="5"/>
    <s v="East"/>
    <x v="0"/>
    <n v="1099.69"/>
    <n v="6"/>
    <n v="0"/>
    <x v="130"/>
    <n v="439.88"/>
    <x v="11"/>
    <n v="46076.77385694444"/>
  </r>
  <r>
    <x v="16"/>
    <x v="23"/>
    <s v="North"/>
    <x v="0"/>
    <n v="710.52"/>
    <n v="8"/>
    <n v="0.1"/>
    <x v="131"/>
    <n v="255.79"/>
    <x v="11"/>
    <n v="46076.77385694444"/>
  </r>
  <r>
    <x v="16"/>
    <x v="20"/>
    <s v="North"/>
    <x v="0"/>
    <n v="499.18"/>
    <n v="15"/>
    <n v="0.2"/>
    <x v="132"/>
    <n v="159.74"/>
    <x v="11"/>
    <n v="46076.77385694444"/>
  </r>
  <r>
    <x v="10"/>
    <x v="9"/>
    <s v="South"/>
    <x v="0"/>
    <n v="1064.19"/>
    <n v="18"/>
    <n v="0.05"/>
    <x v="133"/>
    <n v="404.39"/>
    <x v="11"/>
    <n v="46076.77385694444"/>
  </r>
  <r>
    <x v="23"/>
    <x v="9"/>
    <s v="East"/>
    <x v="4"/>
    <n v="438.76"/>
    <n v="18"/>
    <n v="0.05"/>
    <x v="134"/>
    <n v="187.57"/>
    <x v="11"/>
    <n v="46076.77385694444"/>
  </r>
  <r>
    <x v="12"/>
    <x v="18"/>
    <s v="West"/>
    <x v="1"/>
    <n v="864.98"/>
    <n v="2"/>
    <n v="0.05"/>
    <x v="135"/>
    <n v="410.87"/>
    <x v="11"/>
    <n v="46076.77385694444"/>
  </r>
  <r>
    <x v="18"/>
    <x v="18"/>
    <s v="West"/>
    <x v="3"/>
    <n v="984.9299999999999"/>
    <n v="14"/>
    <n v="0.2"/>
    <x v="136"/>
    <n v="275.78"/>
    <x v="11"/>
    <n v="46076.77385694444"/>
  </r>
  <r>
    <x v="5"/>
    <x v="18"/>
    <s v="West"/>
    <x v="1"/>
    <n v="1493.49"/>
    <n v="18"/>
    <n v="0"/>
    <x v="137"/>
    <n v="746.74"/>
    <x v="11"/>
    <n v="46076.77385694444"/>
  </r>
  <r>
    <x v="8"/>
    <x v="17"/>
    <s v="South"/>
    <x v="1"/>
    <n v="689.4299999999999"/>
    <n v="9"/>
    <n v="0.1"/>
    <x v="138"/>
    <n v="310.24"/>
    <x v="11"/>
    <n v="46076.77385694444"/>
  </r>
  <r>
    <x v="11"/>
    <x v="20"/>
    <s v="South"/>
    <x v="1"/>
    <n v="682.24"/>
    <n v="1"/>
    <n v="0"/>
    <x v="139"/>
    <n v="341.12"/>
    <x v="11"/>
    <n v="46076.77385694444"/>
  </r>
  <r>
    <x v="12"/>
    <x v="4"/>
    <s v="North"/>
    <x v="2"/>
    <n v="458.54"/>
    <n v="15"/>
    <n v="0.2"/>
    <x v="140"/>
    <n v="91.70999999999999"/>
    <x v="11"/>
    <n v="46076.77385694444"/>
  </r>
  <r>
    <x v="8"/>
    <x v="4"/>
    <s v="South"/>
    <x v="3"/>
    <n v="1184.25"/>
    <n v="11"/>
    <n v="0.2"/>
    <x v="141"/>
    <n v="331.59"/>
    <x v="11"/>
    <n v="46076.77385694444"/>
  </r>
  <r>
    <x v="5"/>
    <x v="0"/>
    <s v="South"/>
    <x v="1"/>
    <n v="762.14"/>
    <n v="9"/>
    <n v="0"/>
    <x v="142"/>
    <n v="381.07"/>
    <x v="11"/>
    <n v="46076.77385694444"/>
  </r>
  <r>
    <x v="4"/>
    <x v="17"/>
    <s v="North"/>
    <x v="0"/>
    <n v="750.71"/>
    <n v="10"/>
    <n v="0.15"/>
    <x v="142"/>
    <n v="255.24"/>
    <x v="11"/>
    <n v="46076.77385694444"/>
  </r>
  <r>
    <x v="29"/>
    <x v="26"/>
    <s v="Central"/>
    <x v="1"/>
    <n v="1456.94"/>
    <n v="14"/>
    <n v="0.05"/>
    <x v="143"/>
    <n v="692.05"/>
    <x v="11"/>
    <n v="46076.77385694444"/>
  </r>
  <r>
    <x v="13"/>
    <x v="21"/>
    <s v="East"/>
    <x v="3"/>
    <n v="1093.38"/>
    <n v="17"/>
    <n v="0.1"/>
    <x v="143"/>
    <n v="344.41"/>
    <x v="11"/>
    <n v="46076.77385694444"/>
  </r>
  <r>
    <x v="10"/>
    <x v="11"/>
    <s v="West"/>
    <x v="1"/>
    <n v="934.27"/>
    <n v="8"/>
    <n v="0.15"/>
    <x v="144"/>
    <n v="397.06"/>
    <x v="11"/>
    <n v="46076.77385694444"/>
  </r>
  <r>
    <x v="25"/>
    <x v="8"/>
    <s v="Central"/>
    <x v="1"/>
    <n v="1465.35"/>
    <n v="8"/>
    <n v="0.2"/>
    <x v="144"/>
    <n v="586.14"/>
    <x v="11"/>
    <n v="46076.77385694444"/>
  </r>
  <r>
    <x v="16"/>
    <x v="1"/>
    <s v="South"/>
    <x v="4"/>
    <n v="740.8"/>
    <n v="3"/>
    <n v="0"/>
    <x v="145"/>
    <n v="333.36"/>
    <x v="12"/>
    <n v="46076.77385694444"/>
  </r>
  <r>
    <x v="19"/>
    <x v="11"/>
    <s v="West"/>
    <x v="4"/>
    <n v="545.4400000000001"/>
    <n v="17"/>
    <n v="0"/>
    <x v="146"/>
    <n v="245.45"/>
    <x v="12"/>
    <n v="46076.77385694444"/>
  </r>
  <r>
    <x v="9"/>
    <x v="8"/>
    <s v="East"/>
    <x v="0"/>
    <n v="997.61"/>
    <n v="8"/>
    <n v="0.05"/>
    <x v="146"/>
    <n v="379.09"/>
    <x v="12"/>
    <n v="46076.77385694444"/>
  </r>
  <r>
    <x v="20"/>
    <x v="8"/>
    <s v="South"/>
    <x v="1"/>
    <n v="928.3200000000001"/>
    <n v="2"/>
    <n v="0.05"/>
    <x v="147"/>
    <n v="440.95"/>
    <x v="12"/>
    <n v="46076.77385694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5" firstHeaderRow="1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8" firstHeaderRow="0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numFmtId="16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0" firstHeaderRow="1" firstDataRow="1" firstDataCol="1"/>
  <pivotFields count="11">
    <pivotField compact="0" outline="0" showAll="0"/>
    <pivotField axis="axisRow" compact="0" outline="0"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7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01" totalsRowShown="0">
  <autoFilter ref="A1:K201" xr:uid="{00000000-0009-0000-0100-000001000000}"/>
  <tableColumns count="11">
    <tableColumn id="1" xr3:uid="{00000000-0010-0000-0000-000001000000}" name="Customer_ID"/>
    <tableColumn id="2" xr3:uid="{00000000-0010-0000-0000-000002000000}" name="Customer_Name"/>
    <tableColumn id="3" xr3:uid="{00000000-0010-0000-0000-000003000000}" name="Region" dataDxfId="2"/>
    <tableColumn id="4" xr3:uid="{00000000-0010-0000-0000-000004000000}" name="Product_Category" dataDxfId="1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 dataDxfId="0"/>
    <tableColumn id="9" xr3:uid="{00000000-0010-0000-0000-000009000000}" name="Profit"/>
    <tableColumn id="10" xr3:uid="{00000000-0010-0000-0000-00000A000000}" name="Month"/>
    <tableColumn id="11" xr3:uid="{00000000-0010-0000-0000-00000B000000}" name="Timestamp">
      <calculatedColumnFormula>NOW()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88E3-68D9-428E-B763-8B96C3EBCFF4}">
  <dimension ref="H1:L3"/>
  <sheetViews>
    <sheetView tabSelected="1" topLeftCell="A15" workbookViewId="0">
      <selection activeCell="S27" sqref="S27"/>
    </sheetView>
  </sheetViews>
  <sheetFormatPr defaultRowHeight="14.4" x14ac:dyDescent="0.3"/>
  <cols>
    <col min="1" max="16384" width="8.88671875" style="4"/>
  </cols>
  <sheetData>
    <row r="1" spans="8:12" x14ac:dyDescent="0.3">
      <c r="H1" s="7" t="s">
        <v>94</v>
      </c>
      <c r="I1" s="8"/>
      <c r="J1" s="8"/>
      <c r="K1" s="8"/>
      <c r="L1" s="9"/>
    </row>
    <row r="2" spans="8:12" x14ac:dyDescent="0.3">
      <c r="H2" s="10"/>
      <c r="I2" s="5"/>
      <c r="J2" s="5"/>
      <c r="K2" s="5"/>
      <c r="L2" s="11"/>
    </row>
    <row r="3" spans="8:12" x14ac:dyDescent="0.3">
      <c r="H3" s="12"/>
      <c r="I3" s="6"/>
      <c r="J3" s="6"/>
      <c r="K3" s="6"/>
      <c r="L3" s="13"/>
    </row>
  </sheetData>
  <mergeCells count="1">
    <mergeCell ref="H1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sqref="A1:K201"/>
    </sheetView>
  </sheetViews>
  <sheetFormatPr defaultRowHeight="14.4" x14ac:dyDescent="0.3"/>
  <cols>
    <col min="1" max="1" width="14.6640625" bestFit="1" customWidth="1"/>
    <col min="2" max="2" width="18.109375" bestFit="1" customWidth="1"/>
    <col min="3" max="3" width="9.33203125" style="2" bestFit="1" customWidth="1"/>
    <col min="4" max="4" width="19.109375" style="2" bestFit="1" customWidth="1"/>
    <col min="6" max="7" width="11" bestFit="1" customWidth="1"/>
    <col min="8" max="8" width="19.44140625" customWidth="1"/>
    <col min="11" max="11" width="13.109375" bestFit="1" customWidth="1"/>
  </cols>
  <sheetData>
    <row r="1" spans="1:11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2" t="s">
        <v>13</v>
      </c>
      <c r="D2" s="2" t="s">
        <v>14</v>
      </c>
      <c r="E2">
        <v>1036.0899999999999</v>
      </c>
      <c r="F2">
        <v>4</v>
      </c>
      <c r="G2">
        <v>0.2</v>
      </c>
      <c r="H2" s="1">
        <v>45392</v>
      </c>
      <c r="I2">
        <v>331.55</v>
      </c>
      <c r="J2" t="s">
        <v>15</v>
      </c>
      <c r="K2">
        <f t="shared" ref="K2:K33" ca="1" si="0">NOW()</f>
        <v>46080.739590509256</v>
      </c>
    </row>
    <row r="3" spans="1:11" x14ac:dyDescent="0.3">
      <c r="A3" t="s">
        <v>16</v>
      </c>
      <c r="B3" t="s">
        <v>17</v>
      </c>
      <c r="C3" s="2" t="s">
        <v>13</v>
      </c>
      <c r="D3" s="2" t="s">
        <v>18</v>
      </c>
      <c r="E3">
        <v>1101.28</v>
      </c>
      <c r="F3">
        <v>3</v>
      </c>
      <c r="G3">
        <v>0.2</v>
      </c>
      <c r="H3" s="1">
        <v>45393</v>
      </c>
      <c r="I3">
        <v>440.51</v>
      </c>
      <c r="J3" t="s">
        <v>15</v>
      </c>
      <c r="K3">
        <f t="shared" ca="1" si="0"/>
        <v>46080.739590509256</v>
      </c>
    </row>
    <row r="4" spans="1:11" x14ac:dyDescent="0.3">
      <c r="A4" t="s">
        <v>19</v>
      </c>
      <c r="B4" t="s">
        <v>20</v>
      </c>
      <c r="C4" s="2" t="s">
        <v>21</v>
      </c>
      <c r="D4" s="2" t="s">
        <v>14</v>
      </c>
      <c r="E4">
        <v>713.34</v>
      </c>
      <c r="F4">
        <v>17</v>
      </c>
      <c r="G4">
        <v>0</v>
      </c>
      <c r="H4" s="1">
        <v>45396</v>
      </c>
      <c r="I4">
        <v>285.33999999999997</v>
      </c>
      <c r="J4" t="s">
        <v>15</v>
      </c>
      <c r="K4">
        <f t="shared" ca="1" si="0"/>
        <v>46080.739590509256</v>
      </c>
    </row>
    <row r="5" spans="1:11" x14ac:dyDescent="0.3">
      <c r="A5" t="s">
        <v>22</v>
      </c>
      <c r="B5" t="s">
        <v>17</v>
      </c>
      <c r="C5" s="2" t="s">
        <v>23</v>
      </c>
      <c r="D5" s="2" t="s">
        <v>24</v>
      </c>
      <c r="E5">
        <v>760.93</v>
      </c>
      <c r="F5">
        <v>4</v>
      </c>
      <c r="G5">
        <v>0.15</v>
      </c>
      <c r="H5" s="1">
        <v>45396</v>
      </c>
      <c r="I5">
        <v>161.69999999999999</v>
      </c>
      <c r="J5" t="s">
        <v>15</v>
      </c>
      <c r="K5">
        <f t="shared" ca="1" si="0"/>
        <v>46080.739590509256</v>
      </c>
    </row>
    <row r="6" spans="1:11" x14ac:dyDescent="0.3">
      <c r="A6" t="s">
        <v>25</v>
      </c>
      <c r="B6" t="s">
        <v>26</v>
      </c>
      <c r="C6" s="2" t="s">
        <v>27</v>
      </c>
      <c r="D6" s="2" t="s">
        <v>14</v>
      </c>
      <c r="E6">
        <v>847</v>
      </c>
      <c r="F6">
        <v>12</v>
      </c>
      <c r="G6">
        <v>0.2</v>
      </c>
      <c r="H6" s="1">
        <v>45397</v>
      </c>
      <c r="I6">
        <v>271.04000000000002</v>
      </c>
      <c r="J6" t="s">
        <v>15</v>
      </c>
      <c r="K6">
        <f t="shared" ca="1" si="0"/>
        <v>46080.739590509256</v>
      </c>
    </row>
    <row r="7" spans="1:11" x14ac:dyDescent="0.3">
      <c r="A7" t="s">
        <v>28</v>
      </c>
      <c r="B7" t="s">
        <v>29</v>
      </c>
      <c r="C7" s="2" t="s">
        <v>27</v>
      </c>
      <c r="D7" s="2" t="s">
        <v>30</v>
      </c>
      <c r="E7">
        <v>965.64</v>
      </c>
      <c r="F7">
        <v>8</v>
      </c>
      <c r="G7">
        <v>0.1</v>
      </c>
      <c r="H7" s="1">
        <v>45398</v>
      </c>
      <c r="I7">
        <v>304.18</v>
      </c>
      <c r="J7" t="s">
        <v>15</v>
      </c>
      <c r="K7">
        <f t="shared" ca="1" si="0"/>
        <v>46080.739590509256</v>
      </c>
    </row>
    <row r="8" spans="1:11" x14ac:dyDescent="0.3">
      <c r="A8" t="s">
        <v>31</v>
      </c>
      <c r="B8" t="s">
        <v>32</v>
      </c>
      <c r="C8" s="2" t="s">
        <v>13</v>
      </c>
      <c r="D8" s="2" t="s">
        <v>24</v>
      </c>
      <c r="E8">
        <v>1317.53</v>
      </c>
      <c r="F8">
        <v>12</v>
      </c>
      <c r="G8">
        <v>0.05</v>
      </c>
      <c r="H8" s="1">
        <v>45398</v>
      </c>
      <c r="I8">
        <v>312.91000000000003</v>
      </c>
      <c r="J8" t="s">
        <v>15</v>
      </c>
      <c r="K8">
        <f t="shared" ca="1" si="0"/>
        <v>46080.739590509256</v>
      </c>
    </row>
    <row r="9" spans="1:11" x14ac:dyDescent="0.3">
      <c r="A9" t="s">
        <v>33</v>
      </c>
      <c r="B9" t="s">
        <v>34</v>
      </c>
      <c r="C9" s="2" t="s">
        <v>21</v>
      </c>
      <c r="D9" s="2" t="s">
        <v>30</v>
      </c>
      <c r="E9">
        <v>1074.47</v>
      </c>
      <c r="F9">
        <v>6</v>
      </c>
      <c r="G9">
        <v>0.2</v>
      </c>
      <c r="H9" s="1">
        <v>45401</v>
      </c>
      <c r="I9">
        <v>300.85000000000002</v>
      </c>
      <c r="J9" t="s">
        <v>15</v>
      </c>
      <c r="K9">
        <f t="shared" ca="1" si="0"/>
        <v>46080.739590509256</v>
      </c>
    </row>
    <row r="10" spans="1:11" x14ac:dyDescent="0.3">
      <c r="A10" t="s">
        <v>35</v>
      </c>
      <c r="B10" t="s">
        <v>36</v>
      </c>
      <c r="C10" s="2" t="s">
        <v>37</v>
      </c>
      <c r="D10" s="2" t="s">
        <v>14</v>
      </c>
      <c r="E10">
        <v>501.54</v>
      </c>
      <c r="F10">
        <v>11</v>
      </c>
      <c r="G10">
        <v>0.05</v>
      </c>
      <c r="H10" s="1">
        <v>45401</v>
      </c>
      <c r="I10">
        <v>190.59</v>
      </c>
      <c r="J10" t="s">
        <v>15</v>
      </c>
      <c r="K10">
        <f t="shared" ca="1" si="0"/>
        <v>46080.739590509256</v>
      </c>
    </row>
    <row r="11" spans="1:11" x14ac:dyDescent="0.3">
      <c r="A11" t="s">
        <v>38</v>
      </c>
      <c r="B11" t="s">
        <v>39</v>
      </c>
      <c r="C11" s="2" t="s">
        <v>37</v>
      </c>
      <c r="D11" s="2" t="s">
        <v>18</v>
      </c>
      <c r="E11">
        <v>737.31</v>
      </c>
      <c r="F11">
        <v>2</v>
      </c>
      <c r="G11">
        <v>0.05</v>
      </c>
      <c r="H11" s="1">
        <v>45401</v>
      </c>
      <c r="I11">
        <v>350.22</v>
      </c>
      <c r="J11" t="s">
        <v>15</v>
      </c>
      <c r="K11">
        <f t="shared" ca="1" si="0"/>
        <v>46080.739590509256</v>
      </c>
    </row>
    <row r="12" spans="1:11" x14ac:dyDescent="0.3">
      <c r="A12" t="s">
        <v>40</v>
      </c>
      <c r="B12" t="s">
        <v>41</v>
      </c>
      <c r="C12" s="2" t="s">
        <v>13</v>
      </c>
      <c r="D12" s="2" t="s">
        <v>42</v>
      </c>
      <c r="E12">
        <v>1572.82</v>
      </c>
      <c r="F12">
        <v>6</v>
      </c>
      <c r="G12">
        <v>0.05</v>
      </c>
      <c r="H12" s="1">
        <v>45402</v>
      </c>
      <c r="I12">
        <v>672.38</v>
      </c>
      <c r="J12" t="s">
        <v>15</v>
      </c>
      <c r="K12">
        <f t="shared" ca="1" si="0"/>
        <v>46080.739590509256</v>
      </c>
    </row>
    <row r="13" spans="1:11" x14ac:dyDescent="0.3">
      <c r="A13" t="s">
        <v>40</v>
      </c>
      <c r="B13" t="s">
        <v>39</v>
      </c>
      <c r="C13" s="2" t="s">
        <v>37</v>
      </c>
      <c r="D13" s="2" t="s">
        <v>14</v>
      </c>
      <c r="E13">
        <v>1343.13</v>
      </c>
      <c r="F13">
        <v>14</v>
      </c>
      <c r="G13">
        <v>0.15</v>
      </c>
      <c r="H13" s="1">
        <v>45404</v>
      </c>
      <c r="I13">
        <v>456.66</v>
      </c>
      <c r="J13" t="s">
        <v>15</v>
      </c>
      <c r="K13">
        <f t="shared" ca="1" si="0"/>
        <v>46080.739590509256</v>
      </c>
    </row>
    <row r="14" spans="1:11" x14ac:dyDescent="0.3">
      <c r="A14" t="s">
        <v>28</v>
      </c>
      <c r="B14" t="s">
        <v>29</v>
      </c>
      <c r="C14" s="2" t="s">
        <v>37</v>
      </c>
      <c r="D14" s="2" t="s">
        <v>14</v>
      </c>
      <c r="E14">
        <v>1191.58</v>
      </c>
      <c r="F14">
        <v>14</v>
      </c>
      <c r="G14">
        <v>0.05</v>
      </c>
      <c r="H14" s="1">
        <v>45406</v>
      </c>
      <c r="I14">
        <v>452.8</v>
      </c>
      <c r="J14" t="s">
        <v>15</v>
      </c>
      <c r="K14">
        <f t="shared" ca="1" si="0"/>
        <v>46080.739590509256</v>
      </c>
    </row>
    <row r="15" spans="1:11" x14ac:dyDescent="0.3">
      <c r="A15" t="s">
        <v>43</v>
      </c>
      <c r="B15" t="s">
        <v>17</v>
      </c>
      <c r="C15" s="2" t="s">
        <v>13</v>
      </c>
      <c r="D15" s="2" t="s">
        <v>30</v>
      </c>
      <c r="E15">
        <v>822.28</v>
      </c>
      <c r="F15">
        <v>7</v>
      </c>
      <c r="G15">
        <v>0.05</v>
      </c>
      <c r="H15" s="1">
        <v>45406</v>
      </c>
      <c r="I15">
        <v>273.41000000000003</v>
      </c>
      <c r="J15" t="s">
        <v>15</v>
      </c>
      <c r="K15">
        <f t="shared" ca="1" si="0"/>
        <v>46080.739590509256</v>
      </c>
    </row>
    <row r="16" spans="1:11" x14ac:dyDescent="0.3">
      <c r="A16" t="s">
        <v>44</v>
      </c>
      <c r="B16" t="s">
        <v>45</v>
      </c>
      <c r="C16" s="2" t="s">
        <v>27</v>
      </c>
      <c r="D16" s="2" t="s">
        <v>30</v>
      </c>
      <c r="E16">
        <v>521.66999999999996</v>
      </c>
      <c r="F16">
        <v>15</v>
      </c>
      <c r="G16">
        <v>0.15</v>
      </c>
      <c r="H16" s="1">
        <v>45409</v>
      </c>
      <c r="I16">
        <v>155.19999999999999</v>
      </c>
      <c r="J16" t="s">
        <v>15</v>
      </c>
      <c r="K16">
        <f t="shared" ca="1" si="0"/>
        <v>46080.739590509256</v>
      </c>
    </row>
    <row r="17" spans="1:11" x14ac:dyDescent="0.3">
      <c r="A17" t="s">
        <v>22</v>
      </c>
      <c r="B17" t="s">
        <v>46</v>
      </c>
      <c r="C17" s="2" t="s">
        <v>23</v>
      </c>
      <c r="D17" s="2" t="s">
        <v>24</v>
      </c>
      <c r="E17">
        <v>1502.93</v>
      </c>
      <c r="F17">
        <v>14</v>
      </c>
      <c r="G17">
        <v>0.2</v>
      </c>
      <c r="H17" s="1">
        <v>45410</v>
      </c>
      <c r="I17">
        <v>300.58999999999997</v>
      </c>
      <c r="J17" t="s">
        <v>15</v>
      </c>
      <c r="K17">
        <f t="shared" ca="1" si="0"/>
        <v>46080.739590509256</v>
      </c>
    </row>
    <row r="18" spans="1:11" x14ac:dyDescent="0.3">
      <c r="A18" t="s">
        <v>47</v>
      </c>
      <c r="B18" t="s">
        <v>17</v>
      </c>
      <c r="C18" s="2" t="s">
        <v>23</v>
      </c>
      <c r="D18" s="2" t="s">
        <v>14</v>
      </c>
      <c r="E18">
        <v>877.58</v>
      </c>
      <c r="F18">
        <v>10</v>
      </c>
      <c r="G18">
        <v>0.15</v>
      </c>
      <c r="H18" s="1">
        <v>45411</v>
      </c>
      <c r="I18">
        <v>298.38</v>
      </c>
      <c r="J18" t="s">
        <v>15</v>
      </c>
      <c r="K18">
        <f t="shared" ca="1" si="0"/>
        <v>46080.739590509256</v>
      </c>
    </row>
    <row r="19" spans="1:11" x14ac:dyDescent="0.3">
      <c r="A19" t="s">
        <v>31</v>
      </c>
      <c r="B19" t="s">
        <v>48</v>
      </c>
      <c r="C19" s="2" t="s">
        <v>13</v>
      </c>
      <c r="D19" s="2" t="s">
        <v>14</v>
      </c>
      <c r="E19">
        <v>636.70000000000005</v>
      </c>
      <c r="F19">
        <v>4</v>
      </c>
      <c r="G19">
        <v>0.2</v>
      </c>
      <c r="H19" s="1">
        <v>45411</v>
      </c>
      <c r="I19">
        <v>203.74</v>
      </c>
      <c r="J19" t="s">
        <v>15</v>
      </c>
      <c r="K19">
        <f t="shared" ca="1" si="0"/>
        <v>46080.739590509256</v>
      </c>
    </row>
    <row r="20" spans="1:11" x14ac:dyDescent="0.3">
      <c r="A20" t="s">
        <v>49</v>
      </c>
      <c r="B20" t="s">
        <v>50</v>
      </c>
      <c r="C20" s="2" t="s">
        <v>13</v>
      </c>
      <c r="D20" s="2" t="s">
        <v>14</v>
      </c>
      <c r="E20">
        <v>1506.14</v>
      </c>
      <c r="F20">
        <v>13</v>
      </c>
      <c r="G20">
        <v>0.2</v>
      </c>
      <c r="H20" s="1">
        <v>45412</v>
      </c>
      <c r="I20">
        <v>481.96</v>
      </c>
      <c r="J20" t="s">
        <v>15</v>
      </c>
      <c r="K20">
        <f t="shared" ca="1" si="0"/>
        <v>46080.739590509256</v>
      </c>
    </row>
    <row r="21" spans="1:11" x14ac:dyDescent="0.3">
      <c r="A21" t="s">
        <v>33</v>
      </c>
      <c r="B21" t="s">
        <v>34</v>
      </c>
      <c r="C21" s="2" t="s">
        <v>37</v>
      </c>
      <c r="D21" s="2" t="s">
        <v>24</v>
      </c>
      <c r="E21">
        <v>645.02</v>
      </c>
      <c r="F21">
        <v>4</v>
      </c>
      <c r="G21">
        <v>0</v>
      </c>
      <c r="H21" s="1">
        <v>45414</v>
      </c>
      <c r="I21">
        <v>161.26</v>
      </c>
      <c r="J21" t="s">
        <v>51</v>
      </c>
      <c r="K21">
        <f t="shared" ca="1" si="0"/>
        <v>46080.739590509256</v>
      </c>
    </row>
    <row r="22" spans="1:11" x14ac:dyDescent="0.3">
      <c r="A22" t="s">
        <v>28</v>
      </c>
      <c r="B22" t="s">
        <v>52</v>
      </c>
      <c r="C22" s="2" t="s">
        <v>23</v>
      </c>
      <c r="D22" s="2" t="s">
        <v>18</v>
      </c>
      <c r="E22">
        <v>953.3</v>
      </c>
      <c r="F22">
        <v>11</v>
      </c>
      <c r="G22">
        <v>0</v>
      </c>
      <c r="H22" s="1">
        <v>45415</v>
      </c>
      <c r="I22">
        <v>476.65</v>
      </c>
      <c r="J22" t="s">
        <v>51</v>
      </c>
      <c r="K22">
        <f t="shared" ca="1" si="0"/>
        <v>46080.739590509256</v>
      </c>
    </row>
    <row r="23" spans="1:11" x14ac:dyDescent="0.3">
      <c r="A23" t="s">
        <v>53</v>
      </c>
      <c r="B23" t="s">
        <v>17</v>
      </c>
      <c r="C23" s="2" t="s">
        <v>27</v>
      </c>
      <c r="D23" s="2" t="s">
        <v>24</v>
      </c>
      <c r="E23">
        <v>388.56</v>
      </c>
      <c r="F23">
        <v>14</v>
      </c>
      <c r="G23">
        <v>0.15</v>
      </c>
      <c r="H23" s="1">
        <v>45416</v>
      </c>
      <c r="I23">
        <v>82.57</v>
      </c>
      <c r="J23" t="s">
        <v>51</v>
      </c>
      <c r="K23">
        <f t="shared" ca="1" si="0"/>
        <v>46080.739590509256</v>
      </c>
    </row>
    <row r="24" spans="1:11" x14ac:dyDescent="0.3">
      <c r="A24" t="s">
        <v>11</v>
      </c>
      <c r="B24" t="s">
        <v>34</v>
      </c>
      <c r="C24" s="2" t="s">
        <v>13</v>
      </c>
      <c r="D24" s="2" t="s">
        <v>14</v>
      </c>
      <c r="E24">
        <v>743.17</v>
      </c>
      <c r="F24">
        <v>9</v>
      </c>
      <c r="G24">
        <v>0</v>
      </c>
      <c r="H24" s="1">
        <v>45416</v>
      </c>
      <c r="I24">
        <v>297.27</v>
      </c>
      <c r="J24" t="s">
        <v>51</v>
      </c>
      <c r="K24">
        <f t="shared" ca="1" si="0"/>
        <v>46080.739590509256</v>
      </c>
    </row>
    <row r="25" spans="1:11" x14ac:dyDescent="0.3">
      <c r="A25" t="s">
        <v>43</v>
      </c>
      <c r="B25" t="s">
        <v>34</v>
      </c>
      <c r="C25" s="2" t="s">
        <v>37</v>
      </c>
      <c r="D25" s="2" t="s">
        <v>24</v>
      </c>
      <c r="E25">
        <v>706.37</v>
      </c>
      <c r="F25">
        <v>6</v>
      </c>
      <c r="G25">
        <v>0</v>
      </c>
      <c r="H25" s="1">
        <v>45416</v>
      </c>
      <c r="I25">
        <v>176.59</v>
      </c>
      <c r="J25" t="s">
        <v>51</v>
      </c>
      <c r="K25">
        <f t="shared" ca="1" si="0"/>
        <v>46080.739590509256</v>
      </c>
    </row>
    <row r="26" spans="1:11" x14ac:dyDescent="0.3">
      <c r="A26" t="s">
        <v>16</v>
      </c>
      <c r="B26" t="s">
        <v>34</v>
      </c>
      <c r="C26" s="2" t="s">
        <v>37</v>
      </c>
      <c r="D26" s="2" t="s">
        <v>42</v>
      </c>
      <c r="E26">
        <v>925.31</v>
      </c>
      <c r="F26">
        <v>8</v>
      </c>
      <c r="G26">
        <v>0.1</v>
      </c>
      <c r="H26" s="1">
        <v>45418</v>
      </c>
      <c r="I26">
        <v>374.75</v>
      </c>
      <c r="J26" t="s">
        <v>51</v>
      </c>
      <c r="K26">
        <f t="shared" ca="1" si="0"/>
        <v>46080.739590509256</v>
      </c>
    </row>
    <row r="27" spans="1:11" x14ac:dyDescent="0.3">
      <c r="A27" t="s">
        <v>38</v>
      </c>
      <c r="B27" t="s">
        <v>54</v>
      </c>
      <c r="C27" s="2" t="s">
        <v>23</v>
      </c>
      <c r="D27" s="2" t="s">
        <v>24</v>
      </c>
      <c r="E27">
        <v>1173.1199999999999</v>
      </c>
      <c r="F27">
        <v>18</v>
      </c>
      <c r="G27">
        <v>0</v>
      </c>
      <c r="H27" s="1">
        <v>45418</v>
      </c>
      <c r="I27">
        <v>293.27999999999997</v>
      </c>
      <c r="J27" t="s">
        <v>51</v>
      </c>
      <c r="K27">
        <f t="shared" ca="1" si="0"/>
        <v>46080.739590509256</v>
      </c>
    </row>
    <row r="28" spans="1:11" x14ac:dyDescent="0.3">
      <c r="A28" t="s">
        <v>25</v>
      </c>
      <c r="B28" t="s">
        <v>55</v>
      </c>
      <c r="C28" s="2" t="s">
        <v>27</v>
      </c>
      <c r="D28" s="2" t="s">
        <v>30</v>
      </c>
      <c r="E28">
        <v>675.54</v>
      </c>
      <c r="F28">
        <v>17</v>
      </c>
      <c r="G28">
        <v>0</v>
      </c>
      <c r="H28" s="1">
        <v>45420</v>
      </c>
      <c r="I28">
        <v>236.44</v>
      </c>
      <c r="J28" t="s">
        <v>51</v>
      </c>
      <c r="K28">
        <f t="shared" ca="1" si="0"/>
        <v>46080.739590509256</v>
      </c>
    </row>
    <row r="29" spans="1:11" x14ac:dyDescent="0.3">
      <c r="A29" t="s">
        <v>28</v>
      </c>
      <c r="B29" t="s">
        <v>17</v>
      </c>
      <c r="C29" s="2" t="s">
        <v>37</v>
      </c>
      <c r="D29" s="2" t="s">
        <v>14</v>
      </c>
      <c r="E29">
        <v>939.09</v>
      </c>
      <c r="F29">
        <v>2</v>
      </c>
      <c r="G29">
        <v>0.05</v>
      </c>
      <c r="H29" s="1">
        <v>45422</v>
      </c>
      <c r="I29">
        <v>356.85</v>
      </c>
      <c r="J29" t="s">
        <v>51</v>
      </c>
      <c r="K29">
        <f t="shared" ca="1" si="0"/>
        <v>46080.739590509256</v>
      </c>
    </row>
    <row r="30" spans="1:11" x14ac:dyDescent="0.3">
      <c r="A30" t="s">
        <v>56</v>
      </c>
      <c r="B30" t="s">
        <v>57</v>
      </c>
      <c r="C30" s="2" t="s">
        <v>21</v>
      </c>
      <c r="D30" s="2" t="s">
        <v>42</v>
      </c>
      <c r="E30">
        <v>983.34</v>
      </c>
      <c r="F30">
        <v>19</v>
      </c>
      <c r="G30">
        <v>0.1</v>
      </c>
      <c r="H30" s="1">
        <v>45426</v>
      </c>
      <c r="I30">
        <v>398.25</v>
      </c>
      <c r="J30" t="s">
        <v>51</v>
      </c>
      <c r="K30">
        <f t="shared" ca="1" si="0"/>
        <v>46080.739590509256</v>
      </c>
    </row>
    <row r="31" spans="1:11" x14ac:dyDescent="0.3">
      <c r="A31" t="s">
        <v>56</v>
      </c>
      <c r="B31" t="s">
        <v>26</v>
      </c>
      <c r="C31" s="2" t="s">
        <v>23</v>
      </c>
      <c r="D31" s="2" t="s">
        <v>24</v>
      </c>
      <c r="E31">
        <v>801.21</v>
      </c>
      <c r="F31">
        <v>3</v>
      </c>
      <c r="G31">
        <v>0.2</v>
      </c>
      <c r="H31" s="1">
        <v>45426</v>
      </c>
      <c r="I31">
        <v>160.24</v>
      </c>
      <c r="J31" t="s">
        <v>51</v>
      </c>
      <c r="K31">
        <f t="shared" ca="1" si="0"/>
        <v>46080.739590509256</v>
      </c>
    </row>
    <row r="32" spans="1:11" x14ac:dyDescent="0.3">
      <c r="A32" t="s">
        <v>58</v>
      </c>
      <c r="B32" t="s">
        <v>59</v>
      </c>
      <c r="C32" s="2" t="s">
        <v>27</v>
      </c>
      <c r="D32" s="2" t="s">
        <v>24</v>
      </c>
      <c r="E32">
        <v>1450.71</v>
      </c>
      <c r="F32">
        <v>5</v>
      </c>
      <c r="G32">
        <v>0.1</v>
      </c>
      <c r="H32" s="1">
        <v>45427</v>
      </c>
      <c r="I32">
        <v>326.41000000000003</v>
      </c>
      <c r="J32" t="s">
        <v>51</v>
      </c>
      <c r="K32">
        <f t="shared" ca="1" si="0"/>
        <v>46080.739590509256</v>
      </c>
    </row>
    <row r="33" spans="1:11" x14ac:dyDescent="0.3">
      <c r="A33" t="s">
        <v>53</v>
      </c>
      <c r="B33" t="s">
        <v>60</v>
      </c>
      <c r="C33" s="2" t="s">
        <v>37</v>
      </c>
      <c r="D33" s="2" t="s">
        <v>14</v>
      </c>
      <c r="E33">
        <v>1023.21</v>
      </c>
      <c r="F33">
        <v>18</v>
      </c>
      <c r="G33">
        <v>0.05</v>
      </c>
      <c r="H33" s="1">
        <v>45428</v>
      </c>
      <c r="I33">
        <v>388.82</v>
      </c>
      <c r="J33" t="s">
        <v>51</v>
      </c>
      <c r="K33">
        <f t="shared" ca="1" si="0"/>
        <v>46080.739590509256</v>
      </c>
    </row>
    <row r="34" spans="1:11" x14ac:dyDescent="0.3">
      <c r="A34" t="s">
        <v>31</v>
      </c>
      <c r="B34" t="s">
        <v>50</v>
      </c>
      <c r="C34" s="2" t="s">
        <v>13</v>
      </c>
      <c r="D34" s="2" t="s">
        <v>30</v>
      </c>
      <c r="E34">
        <v>853.72</v>
      </c>
      <c r="F34">
        <v>5</v>
      </c>
      <c r="G34">
        <v>0.15</v>
      </c>
      <c r="H34" s="1">
        <v>45428</v>
      </c>
      <c r="I34">
        <v>253.98</v>
      </c>
      <c r="J34" t="s">
        <v>51</v>
      </c>
      <c r="K34">
        <f t="shared" ref="K34:K65" ca="1" si="1">NOW()</f>
        <v>46080.739590509256</v>
      </c>
    </row>
    <row r="35" spans="1:11" x14ac:dyDescent="0.3">
      <c r="A35" t="s">
        <v>61</v>
      </c>
      <c r="B35" t="s">
        <v>46</v>
      </c>
      <c r="C35" s="2" t="s">
        <v>23</v>
      </c>
      <c r="D35" s="2" t="s">
        <v>24</v>
      </c>
      <c r="E35">
        <v>967.89</v>
      </c>
      <c r="F35">
        <v>10</v>
      </c>
      <c r="G35">
        <v>0.1</v>
      </c>
      <c r="H35" s="1">
        <v>45429</v>
      </c>
      <c r="I35">
        <v>217.78</v>
      </c>
      <c r="J35" t="s">
        <v>51</v>
      </c>
      <c r="K35">
        <f t="shared" ca="1" si="1"/>
        <v>46080.739590509256</v>
      </c>
    </row>
    <row r="36" spans="1:11" x14ac:dyDescent="0.3">
      <c r="A36" t="s">
        <v>62</v>
      </c>
      <c r="B36" t="s">
        <v>57</v>
      </c>
      <c r="C36" s="2" t="s">
        <v>27</v>
      </c>
      <c r="D36" s="2" t="s">
        <v>42</v>
      </c>
      <c r="E36">
        <v>1200.9000000000001</v>
      </c>
      <c r="F36">
        <v>14</v>
      </c>
      <c r="G36">
        <v>0.05</v>
      </c>
      <c r="H36" s="1">
        <v>45429</v>
      </c>
      <c r="I36">
        <v>513.38</v>
      </c>
      <c r="J36" t="s">
        <v>51</v>
      </c>
      <c r="K36">
        <f t="shared" ca="1" si="1"/>
        <v>46080.739590509256</v>
      </c>
    </row>
    <row r="37" spans="1:11" x14ac:dyDescent="0.3">
      <c r="A37" t="s">
        <v>16</v>
      </c>
      <c r="B37" t="s">
        <v>29</v>
      </c>
      <c r="C37" s="2" t="s">
        <v>13</v>
      </c>
      <c r="D37" s="2" t="s">
        <v>14</v>
      </c>
      <c r="E37">
        <v>472.38</v>
      </c>
      <c r="F37">
        <v>12</v>
      </c>
      <c r="G37">
        <v>0.2</v>
      </c>
      <c r="H37" s="1">
        <v>45429</v>
      </c>
      <c r="I37">
        <v>151.16</v>
      </c>
      <c r="J37" t="s">
        <v>51</v>
      </c>
      <c r="K37">
        <f t="shared" ca="1" si="1"/>
        <v>46080.739590509256</v>
      </c>
    </row>
    <row r="38" spans="1:11" x14ac:dyDescent="0.3">
      <c r="A38" t="s">
        <v>11</v>
      </c>
      <c r="B38" t="s">
        <v>59</v>
      </c>
      <c r="C38" s="2" t="s">
        <v>21</v>
      </c>
      <c r="D38" s="2" t="s">
        <v>42</v>
      </c>
      <c r="E38">
        <v>840.92</v>
      </c>
      <c r="F38">
        <v>9</v>
      </c>
      <c r="G38">
        <v>0.05</v>
      </c>
      <c r="H38" s="1">
        <v>45429</v>
      </c>
      <c r="I38">
        <v>359.49</v>
      </c>
      <c r="J38" t="s">
        <v>51</v>
      </c>
      <c r="K38">
        <f t="shared" ca="1" si="1"/>
        <v>46080.739590509256</v>
      </c>
    </row>
    <row r="39" spans="1:11" x14ac:dyDescent="0.3">
      <c r="A39" t="s">
        <v>56</v>
      </c>
      <c r="B39" t="s">
        <v>52</v>
      </c>
      <c r="C39" s="2" t="s">
        <v>37</v>
      </c>
      <c r="D39" s="2" t="s">
        <v>30</v>
      </c>
      <c r="E39">
        <v>1410.06</v>
      </c>
      <c r="F39">
        <v>11</v>
      </c>
      <c r="G39">
        <v>0.05</v>
      </c>
      <c r="H39" s="1">
        <v>45434</v>
      </c>
      <c r="I39">
        <v>468.84</v>
      </c>
      <c r="J39" t="s">
        <v>51</v>
      </c>
      <c r="K39">
        <f t="shared" ca="1" si="1"/>
        <v>46080.739590509256</v>
      </c>
    </row>
    <row r="40" spans="1:11" x14ac:dyDescent="0.3">
      <c r="A40" t="s">
        <v>47</v>
      </c>
      <c r="B40" t="s">
        <v>63</v>
      </c>
      <c r="C40" s="2" t="s">
        <v>37</v>
      </c>
      <c r="D40" s="2" t="s">
        <v>30</v>
      </c>
      <c r="E40">
        <v>773.09</v>
      </c>
      <c r="F40">
        <v>13</v>
      </c>
      <c r="G40">
        <v>0.15</v>
      </c>
      <c r="H40" s="1">
        <v>45434</v>
      </c>
      <c r="I40">
        <v>229.99</v>
      </c>
      <c r="J40" t="s">
        <v>51</v>
      </c>
      <c r="K40">
        <f t="shared" ca="1" si="1"/>
        <v>46080.739590509256</v>
      </c>
    </row>
    <row r="41" spans="1:11" x14ac:dyDescent="0.3">
      <c r="A41" t="s">
        <v>64</v>
      </c>
      <c r="B41" t="s">
        <v>65</v>
      </c>
      <c r="C41" s="2" t="s">
        <v>21</v>
      </c>
      <c r="D41" s="2" t="s">
        <v>14</v>
      </c>
      <c r="E41">
        <v>580.42999999999995</v>
      </c>
      <c r="F41">
        <v>19</v>
      </c>
      <c r="G41">
        <v>0.15</v>
      </c>
      <c r="H41" s="1">
        <v>45435</v>
      </c>
      <c r="I41">
        <v>197.35</v>
      </c>
      <c r="J41" t="s">
        <v>51</v>
      </c>
      <c r="K41">
        <f t="shared" ca="1" si="1"/>
        <v>46080.739590509256</v>
      </c>
    </row>
    <row r="42" spans="1:11" x14ac:dyDescent="0.3">
      <c r="A42" t="s">
        <v>22</v>
      </c>
      <c r="B42" t="s">
        <v>45</v>
      </c>
      <c r="C42" s="2" t="s">
        <v>23</v>
      </c>
      <c r="D42" s="2" t="s">
        <v>14</v>
      </c>
      <c r="E42">
        <v>1151.21</v>
      </c>
      <c r="F42">
        <v>15</v>
      </c>
      <c r="G42">
        <v>0.1</v>
      </c>
      <c r="H42" s="1">
        <v>45445</v>
      </c>
      <c r="I42">
        <v>414.44</v>
      </c>
      <c r="J42" t="s">
        <v>66</v>
      </c>
      <c r="K42">
        <f t="shared" ca="1" si="1"/>
        <v>46080.739590509256</v>
      </c>
    </row>
    <row r="43" spans="1:11" x14ac:dyDescent="0.3">
      <c r="A43" t="s">
        <v>56</v>
      </c>
      <c r="B43" t="s">
        <v>26</v>
      </c>
      <c r="C43" s="2" t="s">
        <v>37</v>
      </c>
      <c r="D43" s="2" t="s">
        <v>42</v>
      </c>
      <c r="E43">
        <v>1025.98</v>
      </c>
      <c r="F43">
        <v>5</v>
      </c>
      <c r="G43">
        <v>0.2</v>
      </c>
      <c r="H43" s="1">
        <v>45447</v>
      </c>
      <c r="I43">
        <v>369.35</v>
      </c>
      <c r="J43" t="s">
        <v>66</v>
      </c>
      <c r="K43">
        <f t="shared" ca="1" si="1"/>
        <v>46080.739590509256</v>
      </c>
    </row>
    <row r="44" spans="1:11" x14ac:dyDescent="0.3">
      <c r="A44" t="s">
        <v>43</v>
      </c>
      <c r="B44" t="s">
        <v>60</v>
      </c>
      <c r="C44" s="2" t="s">
        <v>21</v>
      </c>
      <c r="D44" s="2" t="s">
        <v>42</v>
      </c>
      <c r="E44">
        <v>556.41999999999996</v>
      </c>
      <c r="F44">
        <v>11</v>
      </c>
      <c r="G44">
        <v>0.15</v>
      </c>
      <c r="H44" s="1">
        <v>45447</v>
      </c>
      <c r="I44">
        <v>212.83</v>
      </c>
      <c r="J44" t="s">
        <v>66</v>
      </c>
      <c r="K44">
        <f t="shared" ca="1" si="1"/>
        <v>46080.739590509256</v>
      </c>
    </row>
    <row r="45" spans="1:11" x14ac:dyDescent="0.3">
      <c r="A45" t="s">
        <v>61</v>
      </c>
      <c r="B45" t="s">
        <v>26</v>
      </c>
      <c r="C45" s="2" t="s">
        <v>37</v>
      </c>
      <c r="D45" s="2" t="s">
        <v>14</v>
      </c>
      <c r="E45">
        <v>840.85</v>
      </c>
      <c r="F45">
        <v>19</v>
      </c>
      <c r="G45">
        <v>0.1</v>
      </c>
      <c r="H45" s="1">
        <v>45448</v>
      </c>
      <c r="I45">
        <v>302.70999999999998</v>
      </c>
      <c r="J45" t="s">
        <v>66</v>
      </c>
      <c r="K45">
        <f t="shared" ca="1" si="1"/>
        <v>46080.739590509256</v>
      </c>
    </row>
    <row r="46" spans="1:11" x14ac:dyDescent="0.3">
      <c r="A46" t="s">
        <v>33</v>
      </c>
      <c r="B46" t="s">
        <v>65</v>
      </c>
      <c r="C46" s="2" t="s">
        <v>27</v>
      </c>
      <c r="D46" s="2" t="s">
        <v>30</v>
      </c>
      <c r="E46">
        <v>1227.25</v>
      </c>
      <c r="F46">
        <v>12</v>
      </c>
      <c r="G46">
        <v>0.15</v>
      </c>
      <c r="H46" s="1">
        <v>45448</v>
      </c>
      <c r="I46">
        <v>365.11</v>
      </c>
      <c r="J46" t="s">
        <v>66</v>
      </c>
      <c r="K46">
        <f t="shared" ca="1" si="1"/>
        <v>46080.739590509256</v>
      </c>
    </row>
    <row r="47" spans="1:11" x14ac:dyDescent="0.3">
      <c r="A47" t="s">
        <v>19</v>
      </c>
      <c r="B47" t="s">
        <v>67</v>
      </c>
      <c r="C47" s="2" t="s">
        <v>37</v>
      </c>
      <c r="D47" s="2" t="s">
        <v>24</v>
      </c>
      <c r="E47">
        <v>856.7</v>
      </c>
      <c r="F47">
        <v>2</v>
      </c>
      <c r="G47">
        <v>0</v>
      </c>
      <c r="H47" s="1">
        <v>45449</v>
      </c>
      <c r="I47">
        <v>214.18</v>
      </c>
      <c r="J47" t="s">
        <v>66</v>
      </c>
      <c r="K47">
        <f t="shared" ca="1" si="1"/>
        <v>46080.739590509256</v>
      </c>
    </row>
    <row r="48" spans="1:11" x14ac:dyDescent="0.3">
      <c r="A48" t="s">
        <v>58</v>
      </c>
      <c r="B48" t="s">
        <v>60</v>
      </c>
      <c r="C48" s="2" t="s">
        <v>37</v>
      </c>
      <c r="D48" s="2" t="s">
        <v>42</v>
      </c>
      <c r="E48">
        <v>1225.42</v>
      </c>
      <c r="F48">
        <v>8</v>
      </c>
      <c r="G48">
        <v>0.15</v>
      </c>
      <c r="H48" s="1">
        <v>45449</v>
      </c>
      <c r="I48">
        <v>468.72</v>
      </c>
      <c r="J48" t="s">
        <v>66</v>
      </c>
      <c r="K48">
        <f t="shared" ca="1" si="1"/>
        <v>46080.739590509256</v>
      </c>
    </row>
    <row r="49" spans="1:11" x14ac:dyDescent="0.3">
      <c r="A49" t="s">
        <v>68</v>
      </c>
      <c r="B49" t="s">
        <v>34</v>
      </c>
      <c r="C49" s="2" t="s">
        <v>27</v>
      </c>
      <c r="D49" s="2" t="s">
        <v>42</v>
      </c>
      <c r="E49">
        <v>1001.57</v>
      </c>
      <c r="F49">
        <v>12</v>
      </c>
      <c r="G49">
        <v>0</v>
      </c>
      <c r="H49" s="1">
        <v>45450</v>
      </c>
      <c r="I49">
        <v>450.71</v>
      </c>
      <c r="J49" t="s">
        <v>66</v>
      </c>
      <c r="K49">
        <f t="shared" ca="1" si="1"/>
        <v>46080.739590509256</v>
      </c>
    </row>
    <row r="50" spans="1:11" x14ac:dyDescent="0.3">
      <c r="A50" t="s">
        <v>61</v>
      </c>
      <c r="B50" t="s">
        <v>29</v>
      </c>
      <c r="C50" s="2" t="s">
        <v>21</v>
      </c>
      <c r="D50" s="2" t="s">
        <v>30</v>
      </c>
      <c r="E50">
        <v>1186.8499999999999</v>
      </c>
      <c r="F50">
        <v>19</v>
      </c>
      <c r="G50">
        <v>0.2</v>
      </c>
      <c r="H50" s="1">
        <v>45451</v>
      </c>
      <c r="I50">
        <v>332.32</v>
      </c>
      <c r="J50" t="s">
        <v>66</v>
      </c>
      <c r="K50">
        <f t="shared" ca="1" si="1"/>
        <v>46080.739590509256</v>
      </c>
    </row>
    <row r="51" spans="1:11" x14ac:dyDescent="0.3">
      <c r="A51" t="s">
        <v>47</v>
      </c>
      <c r="B51" t="s">
        <v>55</v>
      </c>
      <c r="C51" s="2" t="s">
        <v>23</v>
      </c>
      <c r="D51" s="2" t="s">
        <v>24</v>
      </c>
      <c r="E51">
        <v>775.45</v>
      </c>
      <c r="F51">
        <v>6</v>
      </c>
      <c r="G51">
        <v>0.1</v>
      </c>
      <c r="H51" s="1">
        <v>45457</v>
      </c>
      <c r="I51">
        <v>174.48</v>
      </c>
      <c r="J51" t="s">
        <v>66</v>
      </c>
      <c r="K51">
        <f t="shared" ca="1" si="1"/>
        <v>46080.739590509256</v>
      </c>
    </row>
    <row r="52" spans="1:11" x14ac:dyDescent="0.3">
      <c r="A52" t="s">
        <v>28</v>
      </c>
      <c r="B52" t="s">
        <v>36</v>
      </c>
      <c r="C52" s="2" t="s">
        <v>23</v>
      </c>
      <c r="D52" s="2" t="s">
        <v>24</v>
      </c>
      <c r="E52">
        <v>1021.47</v>
      </c>
      <c r="F52">
        <v>6</v>
      </c>
      <c r="G52">
        <v>0.05</v>
      </c>
      <c r="H52" s="1">
        <v>45461</v>
      </c>
      <c r="I52">
        <v>242.6</v>
      </c>
      <c r="J52" t="s">
        <v>66</v>
      </c>
      <c r="K52">
        <f t="shared" ca="1" si="1"/>
        <v>46080.739590509256</v>
      </c>
    </row>
    <row r="53" spans="1:11" x14ac:dyDescent="0.3">
      <c r="A53" t="s">
        <v>62</v>
      </c>
      <c r="B53" t="s">
        <v>26</v>
      </c>
      <c r="C53" s="2" t="s">
        <v>23</v>
      </c>
      <c r="D53" s="2" t="s">
        <v>18</v>
      </c>
      <c r="E53">
        <v>1226.6199999999999</v>
      </c>
      <c r="F53">
        <v>7</v>
      </c>
      <c r="G53">
        <v>0.1</v>
      </c>
      <c r="H53" s="1">
        <v>45463</v>
      </c>
      <c r="I53">
        <v>551.98</v>
      </c>
      <c r="J53" t="s">
        <v>66</v>
      </c>
      <c r="K53">
        <f t="shared" ca="1" si="1"/>
        <v>46080.739590509256</v>
      </c>
    </row>
    <row r="54" spans="1:11" x14ac:dyDescent="0.3">
      <c r="A54" t="s">
        <v>25</v>
      </c>
      <c r="B54" t="s">
        <v>69</v>
      </c>
      <c r="C54" s="2" t="s">
        <v>23</v>
      </c>
      <c r="D54" s="2" t="s">
        <v>30</v>
      </c>
      <c r="E54">
        <v>1086.93</v>
      </c>
      <c r="F54">
        <v>2</v>
      </c>
      <c r="G54">
        <v>0</v>
      </c>
      <c r="H54" s="1">
        <v>45464</v>
      </c>
      <c r="I54">
        <v>380.43</v>
      </c>
      <c r="J54" t="s">
        <v>66</v>
      </c>
      <c r="K54">
        <f t="shared" ca="1" si="1"/>
        <v>46080.739590509256</v>
      </c>
    </row>
    <row r="55" spans="1:11" x14ac:dyDescent="0.3">
      <c r="A55" t="s">
        <v>70</v>
      </c>
      <c r="B55" t="s">
        <v>52</v>
      </c>
      <c r="C55" s="2" t="s">
        <v>13</v>
      </c>
      <c r="D55" s="2" t="s">
        <v>14</v>
      </c>
      <c r="E55">
        <v>942.9</v>
      </c>
      <c r="F55">
        <v>18</v>
      </c>
      <c r="G55">
        <v>0.1</v>
      </c>
      <c r="H55" s="1">
        <v>45466</v>
      </c>
      <c r="I55">
        <v>339.44</v>
      </c>
      <c r="J55" t="s">
        <v>66</v>
      </c>
      <c r="K55">
        <f t="shared" ca="1" si="1"/>
        <v>46080.739590509256</v>
      </c>
    </row>
    <row r="56" spans="1:11" x14ac:dyDescent="0.3">
      <c r="A56" t="s">
        <v>35</v>
      </c>
      <c r="B56" t="s">
        <v>41</v>
      </c>
      <c r="C56" s="2" t="s">
        <v>27</v>
      </c>
      <c r="D56" s="2" t="s">
        <v>24</v>
      </c>
      <c r="E56">
        <v>818.8</v>
      </c>
      <c r="F56">
        <v>15</v>
      </c>
      <c r="G56">
        <v>0.15</v>
      </c>
      <c r="H56" s="1">
        <v>45468</v>
      </c>
      <c r="I56">
        <v>173.99</v>
      </c>
      <c r="J56" t="s">
        <v>66</v>
      </c>
      <c r="K56">
        <f t="shared" ca="1" si="1"/>
        <v>46080.739590509256</v>
      </c>
    </row>
    <row r="57" spans="1:11" x14ac:dyDescent="0.3">
      <c r="A57" t="s">
        <v>22</v>
      </c>
      <c r="B57" t="s">
        <v>17</v>
      </c>
      <c r="C57" s="2" t="s">
        <v>23</v>
      </c>
      <c r="D57" s="2" t="s">
        <v>30</v>
      </c>
      <c r="E57">
        <v>919.04</v>
      </c>
      <c r="F57">
        <v>10</v>
      </c>
      <c r="G57">
        <v>0.2</v>
      </c>
      <c r="H57" s="1">
        <v>45468</v>
      </c>
      <c r="I57">
        <v>257.33</v>
      </c>
      <c r="J57" t="s">
        <v>66</v>
      </c>
      <c r="K57">
        <f t="shared" ca="1" si="1"/>
        <v>46080.739590509256</v>
      </c>
    </row>
    <row r="58" spans="1:11" x14ac:dyDescent="0.3">
      <c r="A58" t="s">
        <v>25</v>
      </c>
      <c r="B58" t="s">
        <v>71</v>
      </c>
      <c r="C58" s="2" t="s">
        <v>37</v>
      </c>
      <c r="D58" s="2" t="s">
        <v>14</v>
      </c>
      <c r="E58">
        <v>973.26</v>
      </c>
      <c r="F58">
        <v>11</v>
      </c>
      <c r="G58">
        <v>0</v>
      </c>
      <c r="H58" s="1">
        <v>45470</v>
      </c>
      <c r="I58">
        <v>389.3</v>
      </c>
      <c r="J58" t="s">
        <v>66</v>
      </c>
      <c r="K58">
        <f t="shared" ca="1" si="1"/>
        <v>46080.739590509256</v>
      </c>
    </row>
    <row r="59" spans="1:11" x14ac:dyDescent="0.3">
      <c r="A59" t="s">
        <v>44</v>
      </c>
      <c r="B59" t="s">
        <v>69</v>
      </c>
      <c r="C59" s="2" t="s">
        <v>27</v>
      </c>
      <c r="D59" s="2" t="s">
        <v>24</v>
      </c>
      <c r="E59">
        <v>741.61</v>
      </c>
      <c r="F59">
        <v>1</v>
      </c>
      <c r="G59">
        <v>0.2</v>
      </c>
      <c r="H59" s="1">
        <v>45471</v>
      </c>
      <c r="I59">
        <v>148.32</v>
      </c>
      <c r="J59" t="s">
        <v>66</v>
      </c>
      <c r="K59">
        <f t="shared" ca="1" si="1"/>
        <v>46080.739590509256</v>
      </c>
    </row>
    <row r="60" spans="1:11" x14ac:dyDescent="0.3">
      <c r="A60" t="s">
        <v>72</v>
      </c>
      <c r="B60" t="s">
        <v>41</v>
      </c>
      <c r="C60" s="2" t="s">
        <v>27</v>
      </c>
      <c r="D60" s="2" t="s">
        <v>14</v>
      </c>
      <c r="E60">
        <v>1248.82</v>
      </c>
      <c r="F60">
        <v>2</v>
      </c>
      <c r="G60">
        <v>0.1</v>
      </c>
      <c r="H60" s="1">
        <v>45473</v>
      </c>
      <c r="I60">
        <v>449.58</v>
      </c>
      <c r="J60" t="s">
        <v>66</v>
      </c>
      <c r="K60">
        <f t="shared" ca="1" si="1"/>
        <v>46080.739590509256</v>
      </c>
    </row>
    <row r="61" spans="1:11" x14ac:dyDescent="0.3">
      <c r="A61" t="s">
        <v>16</v>
      </c>
      <c r="B61" t="s">
        <v>63</v>
      </c>
      <c r="C61" s="2" t="s">
        <v>13</v>
      </c>
      <c r="D61" s="2" t="s">
        <v>18</v>
      </c>
      <c r="E61">
        <v>1360.36</v>
      </c>
      <c r="F61">
        <v>17</v>
      </c>
      <c r="G61">
        <v>0</v>
      </c>
      <c r="H61" s="1">
        <v>45473</v>
      </c>
      <c r="I61">
        <v>680.18</v>
      </c>
      <c r="J61" t="s">
        <v>66</v>
      </c>
      <c r="K61">
        <f t="shared" ca="1" si="1"/>
        <v>46080.739590509256</v>
      </c>
    </row>
    <row r="62" spans="1:11" x14ac:dyDescent="0.3">
      <c r="A62" t="s">
        <v>61</v>
      </c>
      <c r="B62" t="s">
        <v>34</v>
      </c>
      <c r="C62" s="2" t="s">
        <v>21</v>
      </c>
      <c r="D62" s="2" t="s">
        <v>14</v>
      </c>
      <c r="E62">
        <v>1383.3</v>
      </c>
      <c r="F62">
        <v>8</v>
      </c>
      <c r="G62">
        <v>0.1</v>
      </c>
      <c r="H62" s="1">
        <v>45478</v>
      </c>
      <c r="I62">
        <v>497.99</v>
      </c>
      <c r="J62" t="s">
        <v>73</v>
      </c>
      <c r="K62">
        <f t="shared" ca="1" si="1"/>
        <v>46080.739590509256</v>
      </c>
    </row>
    <row r="63" spans="1:11" x14ac:dyDescent="0.3">
      <c r="A63" t="s">
        <v>38</v>
      </c>
      <c r="B63" t="s">
        <v>59</v>
      </c>
      <c r="C63" s="2" t="s">
        <v>37</v>
      </c>
      <c r="D63" s="2" t="s">
        <v>42</v>
      </c>
      <c r="E63">
        <v>488.99</v>
      </c>
      <c r="F63">
        <v>9</v>
      </c>
      <c r="G63">
        <v>0</v>
      </c>
      <c r="H63" s="1">
        <v>45479</v>
      </c>
      <c r="I63">
        <v>220.05</v>
      </c>
      <c r="J63" t="s">
        <v>73</v>
      </c>
      <c r="K63">
        <f t="shared" ca="1" si="1"/>
        <v>46080.739590509256</v>
      </c>
    </row>
    <row r="64" spans="1:11" x14ac:dyDescent="0.3">
      <c r="A64" t="s">
        <v>33</v>
      </c>
      <c r="B64" t="s">
        <v>34</v>
      </c>
      <c r="C64" s="2" t="s">
        <v>21</v>
      </c>
      <c r="D64" s="2" t="s">
        <v>30</v>
      </c>
      <c r="E64">
        <v>933.71</v>
      </c>
      <c r="F64">
        <v>17</v>
      </c>
      <c r="G64">
        <v>0.1</v>
      </c>
      <c r="H64" s="1">
        <v>45481</v>
      </c>
      <c r="I64">
        <v>294.12</v>
      </c>
      <c r="J64" t="s">
        <v>73</v>
      </c>
      <c r="K64">
        <f t="shared" ca="1" si="1"/>
        <v>46080.739590509256</v>
      </c>
    </row>
    <row r="65" spans="1:11" x14ac:dyDescent="0.3">
      <c r="A65" t="s">
        <v>72</v>
      </c>
      <c r="B65" t="s">
        <v>12</v>
      </c>
      <c r="C65" s="2" t="s">
        <v>13</v>
      </c>
      <c r="D65" s="2" t="s">
        <v>24</v>
      </c>
      <c r="E65">
        <v>1005.53</v>
      </c>
      <c r="F65">
        <v>17</v>
      </c>
      <c r="G65">
        <v>0.2</v>
      </c>
      <c r="H65" s="1">
        <v>45481</v>
      </c>
      <c r="I65">
        <v>201.11</v>
      </c>
      <c r="J65" t="s">
        <v>73</v>
      </c>
      <c r="K65">
        <f t="shared" ca="1" si="1"/>
        <v>46080.739590509256</v>
      </c>
    </row>
    <row r="66" spans="1:11" x14ac:dyDescent="0.3">
      <c r="A66" t="s">
        <v>44</v>
      </c>
      <c r="B66" t="s">
        <v>65</v>
      </c>
      <c r="C66" s="2" t="s">
        <v>23</v>
      </c>
      <c r="D66" s="2" t="s">
        <v>24</v>
      </c>
      <c r="E66">
        <v>1100.0999999999999</v>
      </c>
      <c r="F66">
        <v>5</v>
      </c>
      <c r="G66">
        <v>0.05</v>
      </c>
      <c r="H66" s="1">
        <v>45482</v>
      </c>
      <c r="I66">
        <v>261.27</v>
      </c>
      <c r="J66" t="s">
        <v>73</v>
      </c>
      <c r="K66">
        <f t="shared" ref="K66:K97" ca="1" si="2">NOW()</f>
        <v>46080.739590509256</v>
      </c>
    </row>
    <row r="67" spans="1:11" x14ac:dyDescent="0.3">
      <c r="A67" t="s">
        <v>72</v>
      </c>
      <c r="B67" t="s">
        <v>26</v>
      </c>
      <c r="C67" s="2" t="s">
        <v>27</v>
      </c>
      <c r="D67" s="2" t="s">
        <v>30</v>
      </c>
      <c r="E67">
        <v>1034.7</v>
      </c>
      <c r="F67">
        <v>15</v>
      </c>
      <c r="G67">
        <v>0.15</v>
      </c>
      <c r="H67" s="1">
        <v>45487</v>
      </c>
      <c r="I67">
        <v>307.82</v>
      </c>
      <c r="J67" t="s">
        <v>73</v>
      </c>
      <c r="K67">
        <f t="shared" ca="1" si="2"/>
        <v>46080.739590509256</v>
      </c>
    </row>
    <row r="68" spans="1:11" x14ac:dyDescent="0.3">
      <c r="A68" t="s">
        <v>70</v>
      </c>
      <c r="B68" t="s">
        <v>34</v>
      </c>
      <c r="C68" s="2" t="s">
        <v>23</v>
      </c>
      <c r="D68" s="2" t="s">
        <v>14</v>
      </c>
      <c r="E68">
        <v>876.44</v>
      </c>
      <c r="F68">
        <v>12</v>
      </c>
      <c r="G68">
        <v>0.05</v>
      </c>
      <c r="H68" s="1">
        <v>45488</v>
      </c>
      <c r="I68">
        <v>333.05</v>
      </c>
      <c r="J68" t="s">
        <v>73</v>
      </c>
      <c r="K68">
        <f t="shared" ca="1" si="2"/>
        <v>46080.739590509256</v>
      </c>
    </row>
    <row r="69" spans="1:11" x14ac:dyDescent="0.3">
      <c r="A69" t="s">
        <v>74</v>
      </c>
      <c r="B69" t="s">
        <v>59</v>
      </c>
      <c r="C69" s="2" t="s">
        <v>13</v>
      </c>
      <c r="D69" s="2" t="s">
        <v>30</v>
      </c>
      <c r="E69">
        <v>1371.34</v>
      </c>
      <c r="F69">
        <v>5</v>
      </c>
      <c r="G69">
        <v>0.05</v>
      </c>
      <c r="H69" s="1">
        <v>45488</v>
      </c>
      <c r="I69">
        <v>455.97</v>
      </c>
      <c r="J69" t="s">
        <v>73</v>
      </c>
      <c r="K69">
        <f t="shared" ca="1" si="2"/>
        <v>46080.739590509256</v>
      </c>
    </row>
    <row r="70" spans="1:11" x14ac:dyDescent="0.3">
      <c r="A70" t="s">
        <v>61</v>
      </c>
      <c r="B70" t="s">
        <v>50</v>
      </c>
      <c r="C70" s="2" t="s">
        <v>27</v>
      </c>
      <c r="D70" s="2" t="s">
        <v>24</v>
      </c>
      <c r="E70">
        <v>1020.26</v>
      </c>
      <c r="F70">
        <v>11</v>
      </c>
      <c r="G70">
        <v>0.05</v>
      </c>
      <c r="H70" s="1">
        <v>45494</v>
      </c>
      <c r="I70">
        <v>242.31</v>
      </c>
      <c r="J70" t="s">
        <v>73</v>
      </c>
      <c r="K70">
        <f t="shared" ca="1" si="2"/>
        <v>46080.739590509256</v>
      </c>
    </row>
    <row r="71" spans="1:11" x14ac:dyDescent="0.3">
      <c r="A71" t="s">
        <v>47</v>
      </c>
      <c r="B71" t="s">
        <v>12</v>
      </c>
      <c r="C71" s="2" t="s">
        <v>37</v>
      </c>
      <c r="D71" s="2" t="s">
        <v>42</v>
      </c>
      <c r="E71">
        <v>804.81</v>
      </c>
      <c r="F71">
        <v>1</v>
      </c>
      <c r="G71">
        <v>0.05</v>
      </c>
      <c r="H71" s="1">
        <v>45502</v>
      </c>
      <c r="I71">
        <v>344.06</v>
      </c>
      <c r="J71" t="s">
        <v>73</v>
      </c>
      <c r="K71">
        <f t="shared" ca="1" si="2"/>
        <v>46080.739590509256</v>
      </c>
    </row>
    <row r="72" spans="1:11" x14ac:dyDescent="0.3">
      <c r="A72" t="s">
        <v>25</v>
      </c>
      <c r="B72" t="s">
        <v>59</v>
      </c>
      <c r="C72" s="2" t="s">
        <v>37</v>
      </c>
      <c r="D72" s="2" t="s">
        <v>24</v>
      </c>
      <c r="E72">
        <v>608.66</v>
      </c>
      <c r="F72">
        <v>1</v>
      </c>
      <c r="G72">
        <v>0.05</v>
      </c>
      <c r="H72" s="1">
        <v>45503</v>
      </c>
      <c r="I72">
        <v>144.56</v>
      </c>
      <c r="J72" t="s">
        <v>73</v>
      </c>
      <c r="K72">
        <f t="shared" ca="1" si="2"/>
        <v>46080.739590509256</v>
      </c>
    </row>
    <row r="73" spans="1:11" x14ac:dyDescent="0.3">
      <c r="A73" t="s">
        <v>74</v>
      </c>
      <c r="B73" t="s">
        <v>75</v>
      </c>
      <c r="C73" s="2" t="s">
        <v>23</v>
      </c>
      <c r="D73" s="2" t="s">
        <v>42</v>
      </c>
      <c r="E73">
        <v>981.2</v>
      </c>
      <c r="F73">
        <v>19</v>
      </c>
      <c r="G73">
        <v>0</v>
      </c>
      <c r="H73" s="1">
        <v>45504</v>
      </c>
      <c r="I73">
        <v>441.54</v>
      </c>
      <c r="J73" t="s">
        <v>73</v>
      </c>
      <c r="K73">
        <f t="shared" ca="1" si="2"/>
        <v>46080.739590509256</v>
      </c>
    </row>
    <row r="74" spans="1:11" x14ac:dyDescent="0.3">
      <c r="A74" t="s">
        <v>76</v>
      </c>
      <c r="B74" t="s">
        <v>59</v>
      </c>
      <c r="C74" s="2" t="s">
        <v>21</v>
      </c>
      <c r="D74" s="2" t="s">
        <v>24</v>
      </c>
      <c r="E74">
        <v>539.77</v>
      </c>
      <c r="F74">
        <v>10</v>
      </c>
      <c r="G74">
        <v>0.15</v>
      </c>
      <c r="H74" s="1">
        <v>45509</v>
      </c>
      <c r="I74">
        <v>114.7</v>
      </c>
      <c r="J74" t="s">
        <v>77</v>
      </c>
      <c r="K74">
        <f t="shared" ca="1" si="2"/>
        <v>46080.739590509256</v>
      </c>
    </row>
    <row r="75" spans="1:11" x14ac:dyDescent="0.3">
      <c r="A75" t="s">
        <v>16</v>
      </c>
      <c r="B75" t="s">
        <v>78</v>
      </c>
      <c r="C75" s="2" t="s">
        <v>23</v>
      </c>
      <c r="D75" s="2" t="s">
        <v>14</v>
      </c>
      <c r="E75">
        <v>804.45</v>
      </c>
      <c r="F75">
        <v>5</v>
      </c>
      <c r="G75">
        <v>0.2</v>
      </c>
      <c r="H75" s="1">
        <v>45509</v>
      </c>
      <c r="I75">
        <v>257.42</v>
      </c>
      <c r="J75" t="s">
        <v>77</v>
      </c>
      <c r="K75">
        <f t="shared" ca="1" si="2"/>
        <v>46080.739590509256</v>
      </c>
    </row>
    <row r="76" spans="1:11" x14ac:dyDescent="0.3">
      <c r="A76" t="s">
        <v>76</v>
      </c>
      <c r="B76" t="s">
        <v>41</v>
      </c>
      <c r="C76" s="2" t="s">
        <v>13</v>
      </c>
      <c r="D76" s="2" t="s">
        <v>24</v>
      </c>
      <c r="E76">
        <v>1526.6</v>
      </c>
      <c r="F76">
        <v>13</v>
      </c>
      <c r="G76">
        <v>0.2</v>
      </c>
      <c r="H76" s="1">
        <v>45512</v>
      </c>
      <c r="I76">
        <v>305.32</v>
      </c>
      <c r="J76" t="s">
        <v>77</v>
      </c>
      <c r="K76">
        <f t="shared" ca="1" si="2"/>
        <v>46080.739590509256</v>
      </c>
    </row>
    <row r="77" spans="1:11" x14ac:dyDescent="0.3">
      <c r="A77" t="s">
        <v>16</v>
      </c>
      <c r="B77" t="s">
        <v>32</v>
      </c>
      <c r="C77" s="2" t="s">
        <v>13</v>
      </c>
      <c r="D77" s="2" t="s">
        <v>24</v>
      </c>
      <c r="E77">
        <v>1215.26</v>
      </c>
      <c r="F77">
        <v>5</v>
      </c>
      <c r="G77">
        <v>0.15</v>
      </c>
      <c r="H77" s="1">
        <v>45513</v>
      </c>
      <c r="I77">
        <v>258.24</v>
      </c>
      <c r="J77" t="s">
        <v>77</v>
      </c>
      <c r="K77">
        <f t="shared" ca="1" si="2"/>
        <v>46080.739590509256</v>
      </c>
    </row>
    <row r="78" spans="1:11" x14ac:dyDescent="0.3">
      <c r="A78" t="s">
        <v>22</v>
      </c>
      <c r="B78" t="s">
        <v>57</v>
      </c>
      <c r="C78" s="2" t="s">
        <v>37</v>
      </c>
      <c r="D78" s="2" t="s">
        <v>30</v>
      </c>
      <c r="E78">
        <v>1261.3399999999999</v>
      </c>
      <c r="F78">
        <v>3</v>
      </c>
      <c r="G78">
        <v>0</v>
      </c>
      <c r="H78" s="1">
        <v>45519</v>
      </c>
      <c r="I78">
        <v>441.47</v>
      </c>
      <c r="J78" t="s">
        <v>77</v>
      </c>
      <c r="K78">
        <f t="shared" ca="1" si="2"/>
        <v>46080.739590509256</v>
      </c>
    </row>
    <row r="79" spans="1:11" x14ac:dyDescent="0.3">
      <c r="A79" t="s">
        <v>79</v>
      </c>
      <c r="B79" t="s">
        <v>48</v>
      </c>
      <c r="C79" s="2" t="s">
        <v>27</v>
      </c>
      <c r="D79" s="2" t="s">
        <v>30</v>
      </c>
      <c r="E79">
        <v>518.07000000000005</v>
      </c>
      <c r="F79">
        <v>7</v>
      </c>
      <c r="G79">
        <v>0.05</v>
      </c>
      <c r="H79" s="1">
        <v>45522</v>
      </c>
      <c r="I79">
        <v>172.26</v>
      </c>
      <c r="J79" t="s">
        <v>77</v>
      </c>
      <c r="K79">
        <f t="shared" ca="1" si="2"/>
        <v>46080.739590509256</v>
      </c>
    </row>
    <row r="80" spans="1:11" x14ac:dyDescent="0.3">
      <c r="A80" t="s">
        <v>33</v>
      </c>
      <c r="B80" t="s">
        <v>32</v>
      </c>
      <c r="C80" s="2" t="s">
        <v>13</v>
      </c>
      <c r="D80" s="2" t="s">
        <v>42</v>
      </c>
      <c r="E80">
        <v>1111.3399999999999</v>
      </c>
      <c r="F80">
        <v>1</v>
      </c>
      <c r="G80">
        <v>0</v>
      </c>
      <c r="H80" s="1">
        <v>45523</v>
      </c>
      <c r="I80">
        <v>500.1</v>
      </c>
      <c r="J80" t="s">
        <v>77</v>
      </c>
      <c r="K80">
        <f t="shared" ca="1" si="2"/>
        <v>46080.739590509256</v>
      </c>
    </row>
    <row r="81" spans="1:11" x14ac:dyDescent="0.3">
      <c r="A81" t="s">
        <v>25</v>
      </c>
      <c r="B81" t="s">
        <v>34</v>
      </c>
      <c r="C81" s="2" t="s">
        <v>21</v>
      </c>
      <c r="D81" s="2" t="s">
        <v>18</v>
      </c>
      <c r="E81">
        <v>1291.47</v>
      </c>
      <c r="F81">
        <v>18</v>
      </c>
      <c r="G81">
        <v>0.1</v>
      </c>
      <c r="H81" s="1">
        <v>45526</v>
      </c>
      <c r="I81">
        <v>581.16</v>
      </c>
      <c r="J81" t="s">
        <v>77</v>
      </c>
      <c r="K81">
        <f t="shared" ca="1" si="2"/>
        <v>46080.739590509256</v>
      </c>
    </row>
    <row r="82" spans="1:11" x14ac:dyDescent="0.3">
      <c r="A82" t="s">
        <v>28</v>
      </c>
      <c r="B82" t="s">
        <v>59</v>
      </c>
      <c r="C82" s="2" t="s">
        <v>27</v>
      </c>
      <c r="D82" s="2" t="s">
        <v>14</v>
      </c>
      <c r="E82">
        <v>679.71</v>
      </c>
      <c r="F82">
        <v>19</v>
      </c>
      <c r="G82">
        <v>0</v>
      </c>
      <c r="H82" s="1">
        <v>45534</v>
      </c>
      <c r="I82">
        <v>271.88</v>
      </c>
      <c r="J82" t="s">
        <v>77</v>
      </c>
      <c r="K82">
        <f t="shared" ca="1" si="2"/>
        <v>46080.739590509256</v>
      </c>
    </row>
    <row r="83" spans="1:11" x14ac:dyDescent="0.3">
      <c r="A83" t="s">
        <v>74</v>
      </c>
      <c r="B83" t="s">
        <v>36</v>
      </c>
      <c r="C83" s="2" t="s">
        <v>21</v>
      </c>
      <c r="D83" s="2" t="s">
        <v>30</v>
      </c>
      <c r="E83">
        <v>1143.69</v>
      </c>
      <c r="F83">
        <v>17</v>
      </c>
      <c r="G83">
        <v>0</v>
      </c>
      <c r="H83" s="1">
        <v>45534</v>
      </c>
      <c r="I83">
        <v>400.29</v>
      </c>
      <c r="J83" t="s">
        <v>77</v>
      </c>
      <c r="K83">
        <f t="shared" ca="1" si="2"/>
        <v>46080.739590509256</v>
      </c>
    </row>
    <row r="84" spans="1:11" x14ac:dyDescent="0.3">
      <c r="A84" t="s">
        <v>56</v>
      </c>
      <c r="B84" t="s">
        <v>54</v>
      </c>
      <c r="C84" s="2" t="s">
        <v>37</v>
      </c>
      <c r="D84" s="2" t="s">
        <v>24</v>
      </c>
      <c r="E84">
        <v>790.08</v>
      </c>
      <c r="F84">
        <v>7</v>
      </c>
      <c r="G84">
        <v>0.1</v>
      </c>
      <c r="H84" s="1">
        <v>45536</v>
      </c>
      <c r="I84">
        <v>177.77</v>
      </c>
      <c r="J84" t="s">
        <v>80</v>
      </c>
      <c r="K84">
        <f t="shared" ca="1" si="2"/>
        <v>46080.739590509256</v>
      </c>
    </row>
    <row r="85" spans="1:11" x14ac:dyDescent="0.3">
      <c r="A85" t="s">
        <v>22</v>
      </c>
      <c r="B85" t="s">
        <v>52</v>
      </c>
      <c r="C85" s="2" t="s">
        <v>37</v>
      </c>
      <c r="D85" s="2" t="s">
        <v>14</v>
      </c>
      <c r="E85">
        <v>1070.68</v>
      </c>
      <c r="F85">
        <v>7</v>
      </c>
      <c r="G85">
        <v>0.05</v>
      </c>
      <c r="H85" s="1">
        <v>45536</v>
      </c>
      <c r="I85">
        <v>406.86</v>
      </c>
      <c r="J85" t="s">
        <v>80</v>
      </c>
      <c r="K85">
        <f t="shared" ca="1" si="2"/>
        <v>46080.739590509256</v>
      </c>
    </row>
    <row r="86" spans="1:11" x14ac:dyDescent="0.3">
      <c r="A86" t="s">
        <v>62</v>
      </c>
      <c r="B86" t="s">
        <v>39</v>
      </c>
      <c r="C86" s="2" t="s">
        <v>13</v>
      </c>
      <c r="D86" s="2" t="s">
        <v>18</v>
      </c>
      <c r="E86">
        <v>1168.8900000000001</v>
      </c>
      <c r="F86">
        <v>4</v>
      </c>
      <c r="G86">
        <v>0.1</v>
      </c>
      <c r="H86" s="1">
        <v>45544</v>
      </c>
      <c r="I86">
        <v>526</v>
      </c>
      <c r="J86" t="s">
        <v>80</v>
      </c>
      <c r="K86">
        <f t="shared" ca="1" si="2"/>
        <v>46080.739590509256</v>
      </c>
    </row>
    <row r="87" spans="1:11" x14ac:dyDescent="0.3">
      <c r="A87" t="s">
        <v>72</v>
      </c>
      <c r="B87" t="s">
        <v>12</v>
      </c>
      <c r="C87" s="2" t="s">
        <v>23</v>
      </c>
      <c r="D87" s="2" t="s">
        <v>24</v>
      </c>
      <c r="E87">
        <v>1335.87</v>
      </c>
      <c r="F87">
        <v>17</v>
      </c>
      <c r="G87">
        <v>0</v>
      </c>
      <c r="H87" s="1">
        <v>45544</v>
      </c>
      <c r="I87">
        <v>333.97</v>
      </c>
      <c r="J87" t="s">
        <v>80</v>
      </c>
      <c r="K87">
        <f t="shared" ca="1" si="2"/>
        <v>46080.739590509256</v>
      </c>
    </row>
    <row r="88" spans="1:11" x14ac:dyDescent="0.3">
      <c r="A88" t="s">
        <v>43</v>
      </c>
      <c r="B88" t="s">
        <v>59</v>
      </c>
      <c r="C88" s="2" t="s">
        <v>21</v>
      </c>
      <c r="D88" s="2" t="s">
        <v>30</v>
      </c>
      <c r="E88">
        <v>873.7</v>
      </c>
      <c r="F88">
        <v>9</v>
      </c>
      <c r="G88">
        <v>0</v>
      </c>
      <c r="H88" s="1">
        <v>45546</v>
      </c>
      <c r="I88">
        <v>305.8</v>
      </c>
      <c r="J88" t="s">
        <v>80</v>
      </c>
      <c r="K88">
        <f t="shared" ca="1" si="2"/>
        <v>46080.739590509256</v>
      </c>
    </row>
    <row r="89" spans="1:11" x14ac:dyDescent="0.3">
      <c r="A89" t="s">
        <v>79</v>
      </c>
      <c r="B89" t="s">
        <v>69</v>
      </c>
      <c r="C89" s="2" t="s">
        <v>13</v>
      </c>
      <c r="D89" s="2" t="s">
        <v>42</v>
      </c>
      <c r="E89">
        <v>1443.98</v>
      </c>
      <c r="F89">
        <v>19</v>
      </c>
      <c r="G89">
        <v>0</v>
      </c>
      <c r="H89" s="1">
        <v>45547</v>
      </c>
      <c r="I89">
        <v>649.79</v>
      </c>
      <c r="J89" t="s">
        <v>80</v>
      </c>
      <c r="K89">
        <f t="shared" ca="1" si="2"/>
        <v>46080.739590509256</v>
      </c>
    </row>
    <row r="90" spans="1:11" x14ac:dyDescent="0.3">
      <c r="A90" t="s">
        <v>43</v>
      </c>
      <c r="B90" t="s">
        <v>26</v>
      </c>
      <c r="C90" s="2" t="s">
        <v>21</v>
      </c>
      <c r="D90" s="2" t="s">
        <v>42</v>
      </c>
      <c r="E90">
        <v>1154.33</v>
      </c>
      <c r="F90">
        <v>11</v>
      </c>
      <c r="G90">
        <v>0.15</v>
      </c>
      <c r="H90" s="1">
        <v>45549</v>
      </c>
      <c r="I90">
        <v>441.53</v>
      </c>
      <c r="J90" t="s">
        <v>80</v>
      </c>
      <c r="K90">
        <f t="shared" ca="1" si="2"/>
        <v>46080.739590509256</v>
      </c>
    </row>
    <row r="91" spans="1:11" x14ac:dyDescent="0.3">
      <c r="A91" t="s">
        <v>53</v>
      </c>
      <c r="B91" t="s">
        <v>54</v>
      </c>
      <c r="C91" s="2" t="s">
        <v>23</v>
      </c>
      <c r="D91" s="2" t="s">
        <v>14</v>
      </c>
      <c r="E91">
        <v>1264.49</v>
      </c>
      <c r="F91">
        <v>16</v>
      </c>
      <c r="G91">
        <v>0.05</v>
      </c>
      <c r="H91" s="1">
        <v>45549</v>
      </c>
      <c r="I91">
        <v>480.51</v>
      </c>
      <c r="J91" t="s">
        <v>80</v>
      </c>
      <c r="K91">
        <f t="shared" ca="1" si="2"/>
        <v>46080.739590509256</v>
      </c>
    </row>
    <row r="92" spans="1:11" x14ac:dyDescent="0.3">
      <c r="A92" t="s">
        <v>28</v>
      </c>
      <c r="B92" t="s">
        <v>71</v>
      </c>
      <c r="C92" s="2" t="s">
        <v>13</v>
      </c>
      <c r="D92" s="2" t="s">
        <v>30</v>
      </c>
      <c r="E92">
        <v>1101.55</v>
      </c>
      <c r="F92">
        <v>4</v>
      </c>
      <c r="G92">
        <v>0.1</v>
      </c>
      <c r="H92" s="1">
        <v>45551</v>
      </c>
      <c r="I92">
        <v>346.99</v>
      </c>
      <c r="J92" t="s">
        <v>80</v>
      </c>
      <c r="K92">
        <f t="shared" ca="1" si="2"/>
        <v>46080.739590509256</v>
      </c>
    </row>
    <row r="93" spans="1:11" x14ac:dyDescent="0.3">
      <c r="A93" t="s">
        <v>81</v>
      </c>
      <c r="B93" t="s">
        <v>17</v>
      </c>
      <c r="C93" s="2" t="s">
        <v>23</v>
      </c>
      <c r="D93" s="2" t="s">
        <v>30</v>
      </c>
      <c r="E93">
        <v>727.73</v>
      </c>
      <c r="F93">
        <v>1</v>
      </c>
      <c r="G93">
        <v>0.1</v>
      </c>
      <c r="H93" s="1">
        <v>45552</v>
      </c>
      <c r="I93">
        <v>229.23</v>
      </c>
      <c r="J93" t="s">
        <v>80</v>
      </c>
      <c r="K93">
        <f t="shared" ca="1" si="2"/>
        <v>46080.739590509256</v>
      </c>
    </row>
    <row r="94" spans="1:11" x14ac:dyDescent="0.3">
      <c r="A94" t="s">
        <v>82</v>
      </c>
      <c r="B94" t="s">
        <v>41</v>
      </c>
      <c r="C94" s="2" t="s">
        <v>21</v>
      </c>
      <c r="D94" s="2" t="s">
        <v>42</v>
      </c>
      <c r="E94">
        <v>875.41</v>
      </c>
      <c r="F94">
        <v>13</v>
      </c>
      <c r="G94">
        <v>0.15</v>
      </c>
      <c r="H94" s="1">
        <v>45552</v>
      </c>
      <c r="I94">
        <v>334.84</v>
      </c>
      <c r="J94" t="s">
        <v>80</v>
      </c>
      <c r="K94">
        <f t="shared" ca="1" si="2"/>
        <v>46080.739590509256</v>
      </c>
    </row>
    <row r="95" spans="1:11" x14ac:dyDescent="0.3">
      <c r="A95" t="s">
        <v>72</v>
      </c>
      <c r="B95" t="s">
        <v>26</v>
      </c>
      <c r="C95" s="2" t="s">
        <v>13</v>
      </c>
      <c r="D95" s="2" t="s">
        <v>24</v>
      </c>
      <c r="E95">
        <v>1158.94</v>
      </c>
      <c r="F95">
        <v>19</v>
      </c>
      <c r="G95">
        <v>0.2</v>
      </c>
      <c r="H95" s="1">
        <v>45553</v>
      </c>
      <c r="I95">
        <v>231.79</v>
      </c>
      <c r="J95" t="s">
        <v>80</v>
      </c>
      <c r="K95">
        <f t="shared" ca="1" si="2"/>
        <v>46080.739590509256</v>
      </c>
    </row>
    <row r="96" spans="1:11" x14ac:dyDescent="0.3">
      <c r="A96" t="s">
        <v>83</v>
      </c>
      <c r="B96" t="s">
        <v>50</v>
      </c>
      <c r="C96" s="2" t="s">
        <v>23</v>
      </c>
      <c r="D96" s="2" t="s">
        <v>14</v>
      </c>
      <c r="E96">
        <v>966.3</v>
      </c>
      <c r="F96">
        <v>2</v>
      </c>
      <c r="G96">
        <v>0.15</v>
      </c>
      <c r="H96" s="1">
        <v>45557</v>
      </c>
      <c r="I96">
        <v>328.54</v>
      </c>
      <c r="J96" t="s">
        <v>80</v>
      </c>
      <c r="K96">
        <f t="shared" ca="1" si="2"/>
        <v>46080.739590509256</v>
      </c>
    </row>
    <row r="97" spans="1:11" x14ac:dyDescent="0.3">
      <c r="A97" t="s">
        <v>74</v>
      </c>
      <c r="B97" t="s">
        <v>20</v>
      </c>
      <c r="C97" s="2" t="s">
        <v>23</v>
      </c>
      <c r="D97" s="2" t="s">
        <v>14</v>
      </c>
      <c r="E97">
        <v>917.48</v>
      </c>
      <c r="F97">
        <v>6</v>
      </c>
      <c r="G97">
        <v>0</v>
      </c>
      <c r="H97" s="1">
        <v>45558</v>
      </c>
      <c r="I97">
        <v>366.99</v>
      </c>
      <c r="J97" t="s">
        <v>80</v>
      </c>
      <c r="K97">
        <f t="shared" ca="1" si="2"/>
        <v>46080.739590509256</v>
      </c>
    </row>
    <row r="98" spans="1:11" x14ac:dyDescent="0.3">
      <c r="A98" t="s">
        <v>44</v>
      </c>
      <c r="B98" t="s">
        <v>65</v>
      </c>
      <c r="C98" s="2" t="s">
        <v>13</v>
      </c>
      <c r="D98" s="2" t="s">
        <v>30</v>
      </c>
      <c r="E98">
        <v>1172.97</v>
      </c>
      <c r="F98">
        <v>7</v>
      </c>
      <c r="G98">
        <v>0.15</v>
      </c>
      <c r="H98" s="1">
        <v>45559</v>
      </c>
      <c r="I98">
        <v>348.96</v>
      </c>
      <c r="J98" t="s">
        <v>80</v>
      </c>
      <c r="K98">
        <f t="shared" ref="K98:K129" ca="1" si="3">NOW()</f>
        <v>46080.739590509256</v>
      </c>
    </row>
    <row r="99" spans="1:11" x14ac:dyDescent="0.3">
      <c r="A99" t="s">
        <v>61</v>
      </c>
      <c r="B99" t="s">
        <v>26</v>
      </c>
      <c r="C99" s="2" t="s">
        <v>27</v>
      </c>
      <c r="D99" s="2" t="s">
        <v>18</v>
      </c>
      <c r="E99">
        <v>1205.82</v>
      </c>
      <c r="F99">
        <v>11</v>
      </c>
      <c r="G99">
        <v>0.1</v>
      </c>
      <c r="H99" s="1">
        <v>45559</v>
      </c>
      <c r="I99">
        <v>542.62</v>
      </c>
      <c r="J99" t="s">
        <v>80</v>
      </c>
      <c r="K99">
        <f t="shared" ca="1" si="3"/>
        <v>46080.739590509256</v>
      </c>
    </row>
    <row r="100" spans="1:11" x14ac:dyDescent="0.3">
      <c r="A100" t="s">
        <v>19</v>
      </c>
      <c r="B100" t="s">
        <v>69</v>
      </c>
      <c r="C100" s="2" t="s">
        <v>13</v>
      </c>
      <c r="D100" s="2" t="s">
        <v>42</v>
      </c>
      <c r="E100">
        <v>826.93</v>
      </c>
      <c r="F100">
        <v>10</v>
      </c>
      <c r="G100">
        <v>0.2</v>
      </c>
      <c r="H100" s="1">
        <v>45564</v>
      </c>
      <c r="I100">
        <v>297.69</v>
      </c>
      <c r="J100" t="s">
        <v>80</v>
      </c>
      <c r="K100">
        <f t="shared" ca="1" si="3"/>
        <v>46080.739590509256</v>
      </c>
    </row>
    <row r="101" spans="1:11" x14ac:dyDescent="0.3">
      <c r="A101" t="s">
        <v>72</v>
      </c>
      <c r="B101" t="s">
        <v>26</v>
      </c>
      <c r="C101" s="2" t="s">
        <v>37</v>
      </c>
      <c r="D101" s="2" t="s">
        <v>18</v>
      </c>
      <c r="E101">
        <v>902.19</v>
      </c>
      <c r="F101">
        <v>12</v>
      </c>
      <c r="G101">
        <v>0</v>
      </c>
      <c r="H101" s="1">
        <v>45564</v>
      </c>
      <c r="I101">
        <v>451.1</v>
      </c>
      <c r="J101" t="s">
        <v>80</v>
      </c>
      <c r="K101">
        <f t="shared" ca="1" si="3"/>
        <v>46080.739590509256</v>
      </c>
    </row>
    <row r="102" spans="1:11" x14ac:dyDescent="0.3">
      <c r="A102" t="s">
        <v>82</v>
      </c>
      <c r="B102" t="s">
        <v>41</v>
      </c>
      <c r="C102" s="2" t="s">
        <v>27</v>
      </c>
      <c r="D102" s="2" t="s">
        <v>14</v>
      </c>
      <c r="E102">
        <v>585.97</v>
      </c>
      <c r="F102">
        <v>17</v>
      </c>
      <c r="G102">
        <v>0.1</v>
      </c>
      <c r="H102" s="1">
        <v>45565</v>
      </c>
      <c r="I102">
        <v>210.95</v>
      </c>
      <c r="J102" t="s">
        <v>80</v>
      </c>
      <c r="K102">
        <f t="shared" ca="1" si="3"/>
        <v>46080.739590509256</v>
      </c>
    </row>
    <row r="103" spans="1:11" x14ac:dyDescent="0.3">
      <c r="A103" t="s">
        <v>64</v>
      </c>
      <c r="B103" t="s">
        <v>29</v>
      </c>
      <c r="C103" s="2" t="s">
        <v>27</v>
      </c>
      <c r="D103" s="2" t="s">
        <v>18</v>
      </c>
      <c r="E103">
        <v>990.19</v>
      </c>
      <c r="F103">
        <v>8</v>
      </c>
      <c r="G103">
        <v>0.1</v>
      </c>
      <c r="H103" s="1">
        <v>45565</v>
      </c>
      <c r="I103">
        <v>445.59</v>
      </c>
      <c r="J103" t="s">
        <v>80</v>
      </c>
      <c r="K103">
        <f t="shared" ca="1" si="3"/>
        <v>46080.739590509256</v>
      </c>
    </row>
    <row r="104" spans="1:11" x14ac:dyDescent="0.3">
      <c r="A104" t="s">
        <v>47</v>
      </c>
      <c r="B104" t="s">
        <v>60</v>
      </c>
      <c r="C104" s="2" t="s">
        <v>37</v>
      </c>
      <c r="D104" s="2" t="s">
        <v>24</v>
      </c>
      <c r="E104">
        <v>1014.09</v>
      </c>
      <c r="F104">
        <v>13</v>
      </c>
      <c r="G104">
        <v>0.2</v>
      </c>
      <c r="H104" s="1">
        <v>45567</v>
      </c>
      <c r="I104">
        <v>202.82</v>
      </c>
      <c r="J104" t="s">
        <v>84</v>
      </c>
      <c r="K104">
        <f t="shared" ca="1" si="3"/>
        <v>46080.739590509256</v>
      </c>
    </row>
    <row r="105" spans="1:11" x14ac:dyDescent="0.3">
      <c r="A105" t="s">
        <v>16</v>
      </c>
      <c r="B105" t="s">
        <v>52</v>
      </c>
      <c r="C105" s="2" t="s">
        <v>27</v>
      </c>
      <c r="D105" s="2" t="s">
        <v>24</v>
      </c>
      <c r="E105">
        <v>925.29</v>
      </c>
      <c r="F105">
        <v>17</v>
      </c>
      <c r="G105">
        <v>0</v>
      </c>
      <c r="H105" s="1">
        <v>45570</v>
      </c>
      <c r="I105">
        <v>231.32</v>
      </c>
      <c r="J105" t="s">
        <v>84</v>
      </c>
      <c r="K105">
        <f t="shared" ca="1" si="3"/>
        <v>46080.739590509256</v>
      </c>
    </row>
    <row r="106" spans="1:11" x14ac:dyDescent="0.3">
      <c r="A106" t="s">
        <v>58</v>
      </c>
      <c r="B106" t="s">
        <v>50</v>
      </c>
      <c r="C106" s="2" t="s">
        <v>21</v>
      </c>
      <c r="D106" s="2" t="s">
        <v>30</v>
      </c>
      <c r="E106">
        <v>1286.54</v>
      </c>
      <c r="F106">
        <v>8</v>
      </c>
      <c r="G106">
        <v>0</v>
      </c>
      <c r="H106" s="1">
        <v>45575</v>
      </c>
      <c r="I106">
        <v>450.29</v>
      </c>
      <c r="J106" t="s">
        <v>84</v>
      </c>
      <c r="K106">
        <f t="shared" ca="1" si="3"/>
        <v>46080.739590509256</v>
      </c>
    </row>
    <row r="107" spans="1:11" x14ac:dyDescent="0.3">
      <c r="A107" t="s">
        <v>40</v>
      </c>
      <c r="B107" t="s">
        <v>69</v>
      </c>
      <c r="C107" s="2" t="s">
        <v>23</v>
      </c>
      <c r="D107" s="2" t="s">
        <v>14</v>
      </c>
      <c r="E107">
        <v>961.62</v>
      </c>
      <c r="F107">
        <v>8</v>
      </c>
      <c r="G107">
        <v>0.2</v>
      </c>
      <c r="H107" s="1">
        <v>45577</v>
      </c>
      <c r="I107">
        <v>307.72000000000003</v>
      </c>
      <c r="J107" t="s">
        <v>84</v>
      </c>
      <c r="K107">
        <f t="shared" ca="1" si="3"/>
        <v>46080.739590509256</v>
      </c>
    </row>
    <row r="108" spans="1:11" x14ac:dyDescent="0.3">
      <c r="A108" t="s">
        <v>47</v>
      </c>
      <c r="B108" t="s">
        <v>26</v>
      </c>
      <c r="C108" s="2" t="s">
        <v>21</v>
      </c>
      <c r="D108" s="2" t="s">
        <v>14</v>
      </c>
      <c r="E108">
        <v>1081.1400000000001</v>
      </c>
      <c r="F108">
        <v>19</v>
      </c>
      <c r="G108">
        <v>0.15</v>
      </c>
      <c r="H108" s="1">
        <v>45577</v>
      </c>
      <c r="I108">
        <v>367.59</v>
      </c>
      <c r="J108" t="s">
        <v>84</v>
      </c>
      <c r="K108">
        <f t="shared" ca="1" si="3"/>
        <v>46080.739590509256</v>
      </c>
    </row>
    <row r="109" spans="1:11" x14ac:dyDescent="0.3">
      <c r="A109" t="s">
        <v>62</v>
      </c>
      <c r="B109" t="s">
        <v>26</v>
      </c>
      <c r="C109" s="2" t="s">
        <v>13</v>
      </c>
      <c r="D109" s="2" t="s">
        <v>18</v>
      </c>
      <c r="E109">
        <v>1923.66</v>
      </c>
      <c r="F109">
        <v>9</v>
      </c>
      <c r="G109">
        <v>0.2</v>
      </c>
      <c r="H109" s="1">
        <v>45580</v>
      </c>
      <c r="I109">
        <v>769.46</v>
      </c>
      <c r="J109" t="s">
        <v>84</v>
      </c>
      <c r="K109">
        <f t="shared" ca="1" si="3"/>
        <v>46080.739590509256</v>
      </c>
    </row>
    <row r="110" spans="1:11" x14ac:dyDescent="0.3">
      <c r="A110" t="s">
        <v>58</v>
      </c>
      <c r="B110" t="s">
        <v>71</v>
      </c>
      <c r="C110" s="2" t="s">
        <v>37</v>
      </c>
      <c r="D110" s="2" t="s">
        <v>18</v>
      </c>
      <c r="E110">
        <v>728.71</v>
      </c>
      <c r="F110">
        <v>14</v>
      </c>
      <c r="G110">
        <v>0.1</v>
      </c>
      <c r="H110" s="1">
        <v>45581</v>
      </c>
      <c r="I110">
        <v>327.92</v>
      </c>
      <c r="J110" t="s">
        <v>84</v>
      </c>
      <c r="K110">
        <f t="shared" ca="1" si="3"/>
        <v>46080.739590509256</v>
      </c>
    </row>
    <row r="111" spans="1:11" x14ac:dyDescent="0.3">
      <c r="A111" t="s">
        <v>11</v>
      </c>
      <c r="B111" t="s">
        <v>36</v>
      </c>
      <c r="C111" s="2" t="s">
        <v>37</v>
      </c>
      <c r="D111" s="2" t="s">
        <v>18</v>
      </c>
      <c r="E111">
        <v>1301.8900000000001</v>
      </c>
      <c r="F111">
        <v>7</v>
      </c>
      <c r="G111">
        <v>0.15</v>
      </c>
      <c r="H111" s="1">
        <v>45581</v>
      </c>
      <c r="I111">
        <v>553.29999999999995</v>
      </c>
      <c r="J111" t="s">
        <v>84</v>
      </c>
      <c r="K111">
        <f t="shared" ca="1" si="3"/>
        <v>46080.739590509256</v>
      </c>
    </row>
    <row r="112" spans="1:11" x14ac:dyDescent="0.3">
      <c r="A112" t="s">
        <v>76</v>
      </c>
      <c r="B112" t="s">
        <v>71</v>
      </c>
      <c r="C112" s="2" t="s">
        <v>21</v>
      </c>
      <c r="D112" s="2" t="s">
        <v>14</v>
      </c>
      <c r="E112">
        <v>980.18</v>
      </c>
      <c r="F112">
        <v>16</v>
      </c>
      <c r="G112">
        <v>0.1</v>
      </c>
      <c r="H112" s="1">
        <v>45582</v>
      </c>
      <c r="I112">
        <v>352.86</v>
      </c>
      <c r="J112" t="s">
        <v>84</v>
      </c>
      <c r="K112">
        <f t="shared" ca="1" si="3"/>
        <v>46080.739590509256</v>
      </c>
    </row>
    <row r="113" spans="1:11" x14ac:dyDescent="0.3">
      <c r="A113" t="s">
        <v>82</v>
      </c>
      <c r="B113" t="s">
        <v>26</v>
      </c>
      <c r="C113" s="2" t="s">
        <v>13</v>
      </c>
      <c r="D113" s="2" t="s">
        <v>18</v>
      </c>
      <c r="E113">
        <v>697.57</v>
      </c>
      <c r="F113">
        <v>17</v>
      </c>
      <c r="G113">
        <v>0.1</v>
      </c>
      <c r="H113" s="1">
        <v>45584</v>
      </c>
      <c r="I113">
        <v>313.91000000000003</v>
      </c>
      <c r="J113" t="s">
        <v>84</v>
      </c>
      <c r="K113">
        <f t="shared" ca="1" si="3"/>
        <v>46080.739590509256</v>
      </c>
    </row>
    <row r="114" spans="1:11" x14ac:dyDescent="0.3">
      <c r="A114" t="s">
        <v>49</v>
      </c>
      <c r="B114" t="s">
        <v>78</v>
      </c>
      <c r="C114" s="2" t="s">
        <v>13</v>
      </c>
      <c r="D114" s="2" t="s">
        <v>30</v>
      </c>
      <c r="E114">
        <v>1193.6099999999999</v>
      </c>
      <c r="F114">
        <v>1</v>
      </c>
      <c r="G114">
        <v>0.15</v>
      </c>
      <c r="H114" s="1">
        <v>45584</v>
      </c>
      <c r="I114">
        <v>355.1</v>
      </c>
      <c r="J114" t="s">
        <v>84</v>
      </c>
      <c r="K114">
        <f t="shared" ca="1" si="3"/>
        <v>46080.739590509256</v>
      </c>
    </row>
    <row r="115" spans="1:11" x14ac:dyDescent="0.3">
      <c r="A115" t="s">
        <v>35</v>
      </c>
      <c r="B115" t="s">
        <v>41</v>
      </c>
      <c r="C115" s="2" t="s">
        <v>23</v>
      </c>
      <c r="D115" s="2" t="s">
        <v>24</v>
      </c>
      <c r="E115">
        <v>771.02</v>
      </c>
      <c r="F115">
        <v>1</v>
      </c>
      <c r="G115">
        <v>0</v>
      </c>
      <c r="H115" s="1">
        <v>45585</v>
      </c>
      <c r="I115">
        <v>192.76</v>
      </c>
      <c r="J115" t="s">
        <v>84</v>
      </c>
      <c r="K115">
        <f t="shared" ca="1" si="3"/>
        <v>46080.739590509256</v>
      </c>
    </row>
    <row r="116" spans="1:11" x14ac:dyDescent="0.3">
      <c r="A116" t="s">
        <v>72</v>
      </c>
      <c r="B116" t="s">
        <v>75</v>
      </c>
      <c r="C116" s="2" t="s">
        <v>27</v>
      </c>
      <c r="D116" s="2" t="s">
        <v>18</v>
      </c>
      <c r="E116">
        <v>661.09</v>
      </c>
      <c r="F116">
        <v>1</v>
      </c>
      <c r="G116">
        <v>0.2</v>
      </c>
      <c r="H116" s="1">
        <v>45593</v>
      </c>
      <c r="I116">
        <v>264.44</v>
      </c>
      <c r="J116" t="s">
        <v>84</v>
      </c>
      <c r="K116">
        <f t="shared" ca="1" si="3"/>
        <v>46080.739590509256</v>
      </c>
    </row>
    <row r="117" spans="1:11" x14ac:dyDescent="0.3">
      <c r="A117" t="s">
        <v>16</v>
      </c>
      <c r="B117" t="s">
        <v>59</v>
      </c>
      <c r="C117" s="2" t="s">
        <v>13</v>
      </c>
      <c r="D117" s="2" t="s">
        <v>24</v>
      </c>
      <c r="E117">
        <v>688.83</v>
      </c>
      <c r="F117">
        <v>15</v>
      </c>
      <c r="G117">
        <v>0</v>
      </c>
      <c r="H117" s="1">
        <v>45595</v>
      </c>
      <c r="I117">
        <v>172.21</v>
      </c>
      <c r="J117" t="s">
        <v>84</v>
      </c>
      <c r="K117">
        <f t="shared" ca="1" si="3"/>
        <v>46080.739590509256</v>
      </c>
    </row>
    <row r="118" spans="1:11" x14ac:dyDescent="0.3">
      <c r="A118" t="s">
        <v>81</v>
      </c>
      <c r="B118" t="s">
        <v>32</v>
      </c>
      <c r="C118" s="2" t="s">
        <v>37</v>
      </c>
      <c r="D118" s="2" t="s">
        <v>14</v>
      </c>
      <c r="E118">
        <v>1249.0999999999999</v>
      </c>
      <c r="F118">
        <v>4</v>
      </c>
      <c r="G118">
        <v>0.05</v>
      </c>
      <c r="H118" s="1">
        <v>45597</v>
      </c>
      <c r="I118">
        <v>474.66</v>
      </c>
      <c r="J118" t="s">
        <v>85</v>
      </c>
      <c r="K118">
        <f t="shared" ca="1" si="3"/>
        <v>46080.739590509256</v>
      </c>
    </row>
    <row r="119" spans="1:11" x14ac:dyDescent="0.3">
      <c r="A119" t="s">
        <v>47</v>
      </c>
      <c r="B119" t="s">
        <v>26</v>
      </c>
      <c r="C119" s="2" t="s">
        <v>21</v>
      </c>
      <c r="D119" s="2" t="s">
        <v>42</v>
      </c>
      <c r="E119">
        <v>1014.22</v>
      </c>
      <c r="F119">
        <v>14</v>
      </c>
      <c r="G119">
        <v>0.05</v>
      </c>
      <c r="H119" s="1">
        <v>45599</v>
      </c>
      <c r="I119">
        <v>433.58</v>
      </c>
      <c r="J119" t="s">
        <v>85</v>
      </c>
      <c r="K119">
        <f t="shared" ca="1" si="3"/>
        <v>46080.739590509256</v>
      </c>
    </row>
    <row r="120" spans="1:11" x14ac:dyDescent="0.3">
      <c r="A120" t="s">
        <v>58</v>
      </c>
      <c r="B120" t="s">
        <v>52</v>
      </c>
      <c r="C120" s="2" t="s">
        <v>21</v>
      </c>
      <c r="D120" s="2" t="s">
        <v>14</v>
      </c>
      <c r="E120">
        <v>1010.58</v>
      </c>
      <c r="F120">
        <v>2</v>
      </c>
      <c r="G120">
        <v>0.15</v>
      </c>
      <c r="H120" s="1">
        <v>45605</v>
      </c>
      <c r="I120">
        <v>343.6</v>
      </c>
      <c r="J120" t="s">
        <v>85</v>
      </c>
      <c r="K120">
        <f t="shared" ca="1" si="3"/>
        <v>46080.739590509256</v>
      </c>
    </row>
    <row r="121" spans="1:11" x14ac:dyDescent="0.3">
      <c r="A121" t="s">
        <v>33</v>
      </c>
      <c r="B121" t="s">
        <v>63</v>
      </c>
      <c r="C121" s="2" t="s">
        <v>27</v>
      </c>
      <c r="D121" s="2" t="s">
        <v>30</v>
      </c>
      <c r="E121">
        <v>957.29</v>
      </c>
      <c r="F121">
        <v>4</v>
      </c>
      <c r="G121">
        <v>0.05</v>
      </c>
      <c r="H121" s="1">
        <v>45605</v>
      </c>
      <c r="I121">
        <v>318.3</v>
      </c>
      <c r="J121" t="s">
        <v>85</v>
      </c>
      <c r="K121">
        <f t="shared" ca="1" si="3"/>
        <v>46080.739590509256</v>
      </c>
    </row>
    <row r="122" spans="1:11" x14ac:dyDescent="0.3">
      <c r="A122" t="s">
        <v>31</v>
      </c>
      <c r="B122" t="s">
        <v>48</v>
      </c>
      <c r="C122" s="2" t="s">
        <v>27</v>
      </c>
      <c r="D122" s="2" t="s">
        <v>30</v>
      </c>
      <c r="E122">
        <v>1077.92</v>
      </c>
      <c r="F122">
        <v>3</v>
      </c>
      <c r="G122">
        <v>0.05</v>
      </c>
      <c r="H122" s="1">
        <v>45608</v>
      </c>
      <c r="I122">
        <v>358.41</v>
      </c>
      <c r="J122" t="s">
        <v>85</v>
      </c>
      <c r="K122">
        <f t="shared" ca="1" si="3"/>
        <v>46080.739590509256</v>
      </c>
    </row>
    <row r="123" spans="1:11" x14ac:dyDescent="0.3">
      <c r="A123" t="s">
        <v>56</v>
      </c>
      <c r="B123" t="s">
        <v>54</v>
      </c>
      <c r="C123" s="2" t="s">
        <v>23</v>
      </c>
      <c r="D123" s="2" t="s">
        <v>18</v>
      </c>
      <c r="E123">
        <v>1163.01</v>
      </c>
      <c r="F123">
        <v>5</v>
      </c>
      <c r="G123">
        <v>0</v>
      </c>
      <c r="H123" s="1">
        <v>45611</v>
      </c>
      <c r="I123">
        <v>581.5</v>
      </c>
      <c r="J123" t="s">
        <v>85</v>
      </c>
      <c r="K123">
        <f t="shared" ca="1" si="3"/>
        <v>46080.739590509256</v>
      </c>
    </row>
    <row r="124" spans="1:11" x14ac:dyDescent="0.3">
      <c r="A124" t="s">
        <v>58</v>
      </c>
      <c r="B124" t="s">
        <v>48</v>
      </c>
      <c r="C124" s="2" t="s">
        <v>21</v>
      </c>
      <c r="D124" s="2" t="s">
        <v>42</v>
      </c>
      <c r="E124">
        <v>1014.56</v>
      </c>
      <c r="F124">
        <v>10</v>
      </c>
      <c r="G124">
        <v>0.1</v>
      </c>
      <c r="H124" s="1">
        <v>45612</v>
      </c>
      <c r="I124">
        <v>410.9</v>
      </c>
      <c r="J124" t="s">
        <v>85</v>
      </c>
      <c r="K124">
        <f t="shared" ca="1" si="3"/>
        <v>46080.739590509256</v>
      </c>
    </row>
    <row r="125" spans="1:11" x14ac:dyDescent="0.3">
      <c r="A125" t="s">
        <v>11</v>
      </c>
      <c r="B125" t="s">
        <v>20</v>
      </c>
      <c r="C125" s="2" t="s">
        <v>23</v>
      </c>
      <c r="D125" s="2" t="s">
        <v>24</v>
      </c>
      <c r="E125">
        <v>718.04</v>
      </c>
      <c r="F125">
        <v>14</v>
      </c>
      <c r="G125">
        <v>0</v>
      </c>
      <c r="H125" s="1">
        <v>45613</v>
      </c>
      <c r="I125">
        <v>179.51</v>
      </c>
      <c r="J125" t="s">
        <v>85</v>
      </c>
      <c r="K125">
        <f t="shared" ca="1" si="3"/>
        <v>46080.739590509256</v>
      </c>
    </row>
    <row r="126" spans="1:11" x14ac:dyDescent="0.3">
      <c r="A126" t="s">
        <v>79</v>
      </c>
      <c r="B126" t="s">
        <v>20</v>
      </c>
      <c r="C126" s="2" t="s">
        <v>37</v>
      </c>
      <c r="D126" s="2" t="s">
        <v>18</v>
      </c>
      <c r="E126">
        <v>1277.8499999999999</v>
      </c>
      <c r="F126">
        <v>18</v>
      </c>
      <c r="G126">
        <v>0.2</v>
      </c>
      <c r="H126" s="1">
        <v>45613</v>
      </c>
      <c r="I126">
        <v>511.14</v>
      </c>
      <c r="J126" t="s">
        <v>85</v>
      </c>
      <c r="K126">
        <f t="shared" ca="1" si="3"/>
        <v>46080.739590509256</v>
      </c>
    </row>
    <row r="127" spans="1:11" x14ac:dyDescent="0.3">
      <c r="A127" t="s">
        <v>76</v>
      </c>
      <c r="B127" t="s">
        <v>26</v>
      </c>
      <c r="C127" s="2" t="s">
        <v>27</v>
      </c>
      <c r="D127" s="2" t="s">
        <v>24</v>
      </c>
      <c r="E127">
        <v>706.73</v>
      </c>
      <c r="F127">
        <v>1</v>
      </c>
      <c r="G127">
        <v>0.15</v>
      </c>
      <c r="H127" s="1">
        <v>45613</v>
      </c>
      <c r="I127">
        <v>150.18</v>
      </c>
      <c r="J127" t="s">
        <v>85</v>
      </c>
      <c r="K127">
        <f t="shared" ca="1" si="3"/>
        <v>46080.739590509256</v>
      </c>
    </row>
    <row r="128" spans="1:11" x14ac:dyDescent="0.3">
      <c r="A128" t="s">
        <v>70</v>
      </c>
      <c r="B128" t="s">
        <v>54</v>
      </c>
      <c r="C128" s="2" t="s">
        <v>21</v>
      </c>
      <c r="D128" s="2" t="s">
        <v>24</v>
      </c>
      <c r="E128">
        <v>1410.59</v>
      </c>
      <c r="F128">
        <v>15</v>
      </c>
      <c r="G128">
        <v>0</v>
      </c>
      <c r="H128" s="1">
        <v>45615</v>
      </c>
      <c r="I128">
        <v>352.65</v>
      </c>
      <c r="J128" t="s">
        <v>85</v>
      </c>
      <c r="K128">
        <f t="shared" ca="1" si="3"/>
        <v>46080.739590509256</v>
      </c>
    </row>
    <row r="129" spans="1:11" x14ac:dyDescent="0.3">
      <c r="A129" t="s">
        <v>35</v>
      </c>
      <c r="B129" t="s">
        <v>65</v>
      </c>
      <c r="C129" s="2" t="s">
        <v>23</v>
      </c>
      <c r="D129" s="2" t="s">
        <v>30</v>
      </c>
      <c r="E129">
        <v>1350.33</v>
      </c>
      <c r="F129">
        <v>10</v>
      </c>
      <c r="G129">
        <v>0</v>
      </c>
      <c r="H129" s="1">
        <v>45615</v>
      </c>
      <c r="I129">
        <v>472.62</v>
      </c>
      <c r="J129" t="s">
        <v>85</v>
      </c>
      <c r="K129">
        <f t="shared" ca="1" si="3"/>
        <v>46080.739590509256</v>
      </c>
    </row>
    <row r="130" spans="1:11" x14ac:dyDescent="0.3">
      <c r="A130" t="s">
        <v>44</v>
      </c>
      <c r="B130" t="s">
        <v>48</v>
      </c>
      <c r="C130" s="2" t="s">
        <v>21</v>
      </c>
      <c r="D130" s="2" t="s">
        <v>24</v>
      </c>
      <c r="E130">
        <v>919.18</v>
      </c>
      <c r="F130">
        <v>4</v>
      </c>
      <c r="G130">
        <v>0.15</v>
      </c>
      <c r="H130" s="1">
        <v>45615</v>
      </c>
      <c r="I130">
        <v>195.33</v>
      </c>
      <c r="J130" t="s">
        <v>85</v>
      </c>
      <c r="K130">
        <f t="shared" ref="K130:K161" ca="1" si="4">NOW()</f>
        <v>46080.739590509256</v>
      </c>
    </row>
    <row r="131" spans="1:11" x14ac:dyDescent="0.3">
      <c r="A131" t="s">
        <v>82</v>
      </c>
      <c r="B131" t="s">
        <v>26</v>
      </c>
      <c r="C131" s="2" t="s">
        <v>13</v>
      </c>
      <c r="D131" s="2" t="s">
        <v>24</v>
      </c>
      <c r="E131">
        <v>258.51</v>
      </c>
      <c r="F131">
        <v>19</v>
      </c>
      <c r="G131">
        <v>0</v>
      </c>
      <c r="H131" s="1">
        <v>45616</v>
      </c>
      <c r="I131">
        <v>64.63</v>
      </c>
      <c r="J131" t="s">
        <v>85</v>
      </c>
      <c r="K131">
        <f t="shared" ca="1" si="4"/>
        <v>46080.739590509256</v>
      </c>
    </row>
    <row r="132" spans="1:11" x14ac:dyDescent="0.3">
      <c r="A132" t="s">
        <v>68</v>
      </c>
      <c r="B132" t="s">
        <v>65</v>
      </c>
      <c r="C132" s="2" t="s">
        <v>21</v>
      </c>
      <c r="D132" s="2" t="s">
        <v>14</v>
      </c>
      <c r="E132">
        <v>1213.48</v>
      </c>
      <c r="F132">
        <v>5</v>
      </c>
      <c r="G132">
        <v>0.05</v>
      </c>
      <c r="H132" s="1">
        <v>45616</v>
      </c>
      <c r="I132">
        <v>461.12</v>
      </c>
      <c r="J132" t="s">
        <v>85</v>
      </c>
      <c r="K132">
        <f t="shared" ca="1" si="4"/>
        <v>46080.739590509256</v>
      </c>
    </row>
    <row r="133" spans="1:11" x14ac:dyDescent="0.3">
      <c r="A133" t="s">
        <v>61</v>
      </c>
      <c r="B133" t="s">
        <v>41</v>
      </c>
      <c r="C133" s="2" t="s">
        <v>37</v>
      </c>
      <c r="D133" s="2" t="s">
        <v>14</v>
      </c>
      <c r="E133">
        <v>1150.28</v>
      </c>
      <c r="F133">
        <v>8</v>
      </c>
      <c r="G133">
        <v>0.05</v>
      </c>
      <c r="H133" s="1">
        <v>45622</v>
      </c>
      <c r="I133">
        <v>437.11</v>
      </c>
      <c r="J133" t="s">
        <v>85</v>
      </c>
      <c r="K133">
        <f t="shared" ca="1" si="4"/>
        <v>46080.739590509256</v>
      </c>
    </row>
    <row r="134" spans="1:11" x14ac:dyDescent="0.3">
      <c r="A134" t="s">
        <v>40</v>
      </c>
      <c r="B134" t="s">
        <v>78</v>
      </c>
      <c r="C134" s="2" t="s">
        <v>23</v>
      </c>
      <c r="D134" s="2" t="s">
        <v>30</v>
      </c>
      <c r="E134">
        <v>853.86</v>
      </c>
      <c r="F134">
        <v>8</v>
      </c>
      <c r="G134">
        <v>0.1</v>
      </c>
      <c r="H134" s="1">
        <v>45622</v>
      </c>
      <c r="I134">
        <v>268.97000000000003</v>
      </c>
      <c r="J134" t="s">
        <v>85</v>
      </c>
      <c r="K134">
        <f t="shared" ca="1" si="4"/>
        <v>46080.739590509256</v>
      </c>
    </row>
    <row r="135" spans="1:11" x14ac:dyDescent="0.3">
      <c r="A135" t="s">
        <v>83</v>
      </c>
      <c r="B135" t="s">
        <v>48</v>
      </c>
      <c r="C135" s="2" t="s">
        <v>23</v>
      </c>
      <c r="D135" s="2" t="s">
        <v>24</v>
      </c>
      <c r="E135">
        <v>1061.04</v>
      </c>
      <c r="F135">
        <v>1</v>
      </c>
      <c r="G135">
        <v>0</v>
      </c>
      <c r="H135" s="1">
        <v>45624</v>
      </c>
      <c r="I135">
        <v>265.26</v>
      </c>
      <c r="J135" t="s">
        <v>85</v>
      </c>
      <c r="K135">
        <f t="shared" ca="1" si="4"/>
        <v>46080.739590509256</v>
      </c>
    </row>
    <row r="136" spans="1:11" x14ac:dyDescent="0.3">
      <c r="A136" t="s">
        <v>31</v>
      </c>
      <c r="B136" t="s">
        <v>46</v>
      </c>
      <c r="C136" s="2" t="s">
        <v>13</v>
      </c>
      <c r="D136" s="2" t="s">
        <v>24</v>
      </c>
      <c r="E136">
        <v>894.55</v>
      </c>
      <c r="F136">
        <v>19</v>
      </c>
      <c r="G136">
        <v>0.2</v>
      </c>
      <c r="H136" s="1">
        <v>45625</v>
      </c>
      <c r="I136">
        <v>178.91</v>
      </c>
      <c r="J136" t="s">
        <v>85</v>
      </c>
      <c r="K136">
        <f t="shared" ca="1" si="4"/>
        <v>46080.739590509256</v>
      </c>
    </row>
    <row r="137" spans="1:11" x14ac:dyDescent="0.3">
      <c r="A137" t="s">
        <v>28</v>
      </c>
      <c r="B137" t="s">
        <v>41</v>
      </c>
      <c r="C137" s="2" t="s">
        <v>27</v>
      </c>
      <c r="D137" s="2" t="s">
        <v>42</v>
      </c>
      <c r="E137">
        <v>833.91</v>
      </c>
      <c r="F137">
        <v>3</v>
      </c>
      <c r="G137">
        <v>0.05</v>
      </c>
      <c r="H137" s="1">
        <v>45626</v>
      </c>
      <c r="I137">
        <v>356.5</v>
      </c>
      <c r="J137" t="s">
        <v>85</v>
      </c>
      <c r="K137">
        <f t="shared" ca="1" si="4"/>
        <v>46080.739590509256</v>
      </c>
    </row>
    <row r="138" spans="1:11" x14ac:dyDescent="0.3">
      <c r="A138" t="s">
        <v>62</v>
      </c>
      <c r="B138" t="s">
        <v>78</v>
      </c>
      <c r="C138" s="2" t="s">
        <v>13</v>
      </c>
      <c r="D138" s="2" t="s">
        <v>30</v>
      </c>
      <c r="E138">
        <v>820.19</v>
      </c>
      <c r="F138">
        <v>4</v>
      </c>
      <c r="G138">
        <v>0.2</v>
      </c>
      <c r="H138" s="1">
        <v>45630</v>
      </c>
      <c r="I138">
        <v>229.65</v>
      </c>
      <c r="J138" t="s">
        <v>86</v>
      </c>
      <c r="K138">
        <f t="shared" ca="1" si="4"/>
        <v>46080.739590509256</v>
      </c>
    </row>
    <row r="139" spans="1:11" x14ac:dyDescent="0.3">
      <c r="A139" t="s">
        <v>62</v>
      </c>
      <c r="B139" t="s">
        <v>41</v>
      </c>
      <c r="C139" s="2" t="s">
        <v>37</v>
      </c>
      <c r="D139" s="2" t="s">
        <v>24</v>
      </c>
      <c r="E139">
        <v>511.74</v>
      </c>
      <c r="F139">
        <v>8</v>
      </c>
      <c r="G139">
        <v>0.05</v>
      </c>
      <c r="H139" s="1">
        <v>45631</v>
      </c>
      <c r="I139">
        <v>121.54</v>
      </c>
      <c r="J139" t="s">
        <v>86</v>
      </c>
      <c r="K139">
        <f t="shared" ca="1" si="4"/>
        <v>46080.739590509256</v>
      </c>
    </row>
    <row r="140" spans="1:11" x14ac:dyDescent="0.3">
      <c r="A140" t="s">
        <v>70</v>
      </c>
      <c r="B140" t="s">
        <v>65</v>
      </c>
      <c r="C140" s="2" t="s">
        <v>23</v>
      </c>
      <c r="D140" s="2" t="s">
        <v>30</v>
      </c>
      <c r="E140">
        <v>806.03</v>
      </c>
      <c r="F140">
        <v>19</v>
      </c>
      <c r="G140">
        <v>0.05</v>
      </c>
      <c r="H140" s="1">
        <v>45638</v>
      </c>
      <c r="I140">
        <v>268</v>
      </c>
      <c r="J140" t="s">
        <v>86</v>
      </c>
      <c r="K140">
        <f t="shared" ca="1" si="4"/>
        <v>46080.739590509256</v>
      </c>
    </row>
    <row r="141" spans="1:11" x14ac:dyDescent="0.3">
      <c r="A141" t="s">
        <v>31</v>
      </c>
      <c r="B141" t="s">
        <v>29</v>
      </c>
      <c r="C141" s="2" t="s">
        <v>37</v>
      </c>
      <c r="D141" s="2" t="s">
        <v>30</v>
      </c>
      <c r="E141">
        <v>1432.47</v>
      </c>
      <c r="F141">
        <v>16</v>
      </c>
      <c r="G141">
        <v>0.15</v>
      </c>
      <c r="H141" s="1">
        <v>45640</v>
      </c>
      <c r="I141">
        <v>426.16</v>
      </c>
      <c r="J141" t="s">
        <v>86</v>
      </c>
      <c r="K141">
        <f t="shared" ca="1" si="4"/>
        <v>46080.739590509256</v>
      </c>
    </row>
    <row r="142" spans="1:11" x14ac:dyDescent="0.3">
      <c r="A142" t="s">
        <v>82</v>
      </c>
      <c r="B142" t="s">
        <v>32</v>
      </c>
      <c r="C142" s="2" t="s">
        <v>37</v>
      </c>
      <c r="D142" s="2" t="s">
        <v>24</v>
      </c>
      <c r="E142">
        <v>1488.58</v>
      </c>
      <c r="F142">
        <v>10</v>
      </c>
      <c r="G142">
        <v>0.15</v>
      </c>
      <c r="H142" s="1">
        <v>45640</v>
      </c>
      <c r="I142">
        <v>316.32</v>
      </c>
      <c r="J142" t="s">
        <v>86</v>
      </c>
      <c r="K142">
        <f t="shared" ca="1" si="4"/>
        <v>46080.739590509256</v>
      </c>
    </row>
    <row r="143" spans="1:11" x14ac:dyDescent="0.3">
      <c r="A143" t="s">
        <v>33</v>
      </c>
      <c r="B143" t="s">
        <v>71</v>
      </c>
      <c r="C143" s="2" t="s">
        <v>21</v>
      </c>
      <c r="D143" s="2" t="s">
        <v>14</v>
      </c>
      <c r="E143">
        <v>1231.26</v>
      </c>
      <c r="F143">
        <v>9</v>
      </c>
      <c r="G143">
        <v>0</v>
      </c>
      <c r="H143" s="1">
        <v>45646</v>
      </c>
      <c r="I143">
        <v>492.5</v>
      </c>
      <c r="J143" t="s">
        <v>86</v>
      </c>
      <c r="K143">
        <f t="shared" ca="1" si="4"/>
        <v>46080.739590509256</v>
      </c>
    </row>
    <row r="144" spans="1:11" x14ac:dyDescent="0.3">
      <c r="A144" t="s">
        <v>33</v>
      </c>
      <c r="B144" t="s">
        <v>46</v>
      </c>
      <c r="C144" s="2" t="s">
        <v>13</v>
      </c>
      <c r="D144" s="2" t="s">
        <v>24</v>
      </c>
      <c r="E144">
        <v>1161.67</v>
      </c>
      <c r="F144">
        <v>19</v>
      </c>
      <c r="G144">
        <v>0.2</v>
      </c>
      <c r="H144" s="1">
        <v>45647</v>
      </c>
      <c r="I144">
        <v>232.33</v>
      </c>
      <c r="J144" t="s">
        <v>86</v>
      </c>
      <c r="K144">
        <f t="shared" ca="1" si="4"/>
        <v>46080.739590509256</v>
      </c>
    </row>
    <row r="145" spans="1:11" x14ac:dyDescent="0.3">
      <c r="A145" t="s">
        <v>53</v>
      </c>
      <c r="B145" t="s">
        <v>48</v>
      </c>
      <c r="C145" s="2" t="s">
        <v>37</v>
      </c>
      <c r="D145" s="2" t="s">
        <v>42</v>
      </c>
      <c r="E145">
        <v>388.23</v>
      </c>
      <c r="F145">
        <v>16</v>
      </c>
      <c r="G145">
        <v>0.05</v>
      </c>
      <c r="H145" s="1">
        <v>45650</v>
      </c>
      <c r="I145">
        <v>165.97</v>
      </c>
      <c r="J145" t="s">
        <v>86</v>
      </c>
      <c r="K145">
        <f t="shared" ca="1" si="4"/>
        <v>46080.739590509256</v>
      </c>
    </row>
    <row r="146" spans="1:11" x14ac:dyDescent="0.3">
      <c r="A146" t="s">
        <v>79</v>
      </c>
      <c r="B146" t="s">
        <v>34</v>
      </c>
      <c r="C146" s="2" t="s">
        <v>27</v>
      </c>
      <c r="D146" s="2" t="s">
        <v>18</v>
      </c>
      <c r="E146">
        <v>1589.42</v>
      </c>
      <c r="F146">
        <v>6</v>
      </c>
      <c r="G146">
        <v>0.15</v>
      </c>
      <c r="H146" s="1">
        <v>45651</v>
      </c>
      <c r="I146">
        <v>675.5</v>
      </c>
      <c r="J146" t="s">
        <v>86</v>
      </c>
      <c r="K146">
        <f t="shared" ca="1" si="4"/>
        <v>46080.739590509256</v>
      </c>
    </row>
    <row r="147" spans="1:11" x14ac:dyDescent="0.3">
      <c r="A147" t="s">
        <v>31</v>
      </c>
      <c r="B147" t="s">
        <v>78</v>
      </c>
      <c r="C147" s="2" t="s">
        <v>27</v>
      </c>
      <c r="D147" s="2" t="s">
        <v>18</v>
      </c>
      <c r="E147">
        <v>336.66</v>
      </c>
      <c r="F147">
        <v>13</v>
      </c>
      <c r="G147">
        <v>0.2</v>
      </c>
      <c r="H147" s="1">
        <v>45651</v>
      </c>
      <c r="I147">
        <v>134.66</v>
      </c>
      <c r="J147" t="s">
        <v>86</v>
      </c>
      <c r="K147">
        <f t="shared" ca="1" si="4"/>
        <v>46080.739590509256</v>
      </c>
    </row>
    <row r="148" spans="1:11" x14ac:dyDescent="0.3">
      <c r="A148" t="s">
        <v>53</v>
      </c>
      <c r="B148" t="s">
        <v>26</v>
      </c>
      <c r="C148" s="2" t="s">
        <v>13</v>
      </c>
      <c r="D148" s="2" t="s">
        <v>14</v>
      </c>
      <c r="E148">
        <v>1353.79</v>
      </c>
      <c r="F148">
        <v>14</v>
      </c>
      <c r="G148">
        <v>0.1</v>
      </c>
      <c r="H148" s="1">
        <v>45656</v>
      </c>
      <c r="I148">
        <v>487.36</v>
      </c>
      <c r="J148" t="s">
        <v>86</v>
      </c>
      <c r="K148">
        <f t="shared" ca="1" si="4"/>
        <v>46080.739590509256</v>
      </c>
    </row>
    <row r="149" spans="1:11" x14ac:dyDescent="0.3">
      <c r="A149" t="s">
        <v>68</v>
      </c>
      <c r="B149" t="s">
        <v>75</v>
      </c>
      <c r="C149" s="2" t="s">
        <v>37</v>
      </c>
      <c r="D149" s="2" t="s">
        <v>18</v>
      </c>
      <c r="E149">
        <v>662.61</v>
      </c>
      <c r="F149">
        <v>11</v>
      </c>
      <c r="G149">
        <v>0.05</v>
      </c>
      <c r="H149" s="1">
        <v>45658</v>
      </c>
      <c r="I149">
        <v>314.74</v>
      </c>
      <c r="J149" t="s">
        <v>87</v>
      </c>
      <c r="K149">
        <f t="shared" ca="1" si="4"/>
        <v>46080.739590509256</v>
      </c>
    </row>
    <row r="150" spans="1:11" x14ac:dyDescent="0.3">
      <c r="A150" t="s">
        <v>56</v>
      </c>
      <c r="B150" t="s">
        <v>52</v>
      </c>
      <c r="C150" s="2" t="s">
        <v>27</v>
      </c>
      <c r="D150" s="2" t="s">
        <v>42</v>
      </c>
      <c r="E150">
        <v>309.42</v>
      </c>
      <c r="F150">
        <v>1</v>
      </c>
      <c r="G150">
        <v>0.2</v>
      </c>
      <c r="H150" s="1">
        <v>45658</v>
      </c>
      <c r="I150">
        <v>111.39</v>
      </c>
      <c r="J150" t="s">
        <v>87</v>
      </c>
      <c r="K150">
        <f t="shared" ca="1" si="4"/>
        <v>46080.739590509256</v>
      </c>
    </row>
    <row r="151" spans="1:11" x14ac:dyDescent="0.3">
      <c r="A151" t="s">
        <v>68</v>
      </c>
      <c r="B151" t="s">
        <v>32</v>
      </c>
      <c r="C151" s="2" t="s">
        <v>27</v>
      </c>
      <c r="D151" s="2" t="s">
        <v>14</v>
      </c>
      <c r="E151">
        <v>884.63</v>
      </c>
      <c r="F151">
        <v>18</v>
      </c>
      <c r="G151">
        <v>0.1</v>
      </c>
      <c r="H151" s="1">
        <v>45659</v>
      </c>
      <c r="I151">
        <v>318.47000000000003</v>
      </c>
      <c r="J151" t="s">
        <v>87</v>
      </c>
      <c r="K151">
        <f t="shared" ca="1" si="4"/>
        <v>46080.739590509256</v>
      </c>
    </row>
    <row r="152" spans="1:11" x14ac:dyDescent="0.3">
      <c r="A152" t="s">
        <v>56</v>
      </c>
      <c r="B152" t="s">
        <v>26</v>
      </c>
      <c r="C152" s="2" t="s">
        <v>37</v>
      </c>
      <c r="D152" s="2" t="s">
        <v>42</v>
      </c>
      <c r="E152">
        <v>745.05</v>
      </c>
      <c r="F152">
        <v>10</v>
      </c>
      <c r="G152">
        <v>0.1</v>
      </c>
      <c r="H152" s="1">
        <v>45660</v>
      </c>
      <c r="I152">
        <v>301.75</v>
      </c>
      <c r="J152" t="s">
        <v>87</v>
      </c>
      <c r="K152">
        <f t="shared" ca="1" si="4"/>
        <v>46080.739590509256</v>
      </c>
    </row>
    <row r="153" spans="1:11" x14ac:dyDescent="0.3">
      <c r="A153" t="s">
        <v>64</v>
      </c>
      <c r="B153" t="s">
        <v>20</v>
      </c>
      <c r="C153" s="2" t="s">
        <v>23</v>
      </c>
      <c r="D153" s="2" t="s">
        <v>18</v>
      </c>
      <c r="E153">
        <v>870.23</v>
      </c>
      <c r="F153">
        <v>5</v>
      </c>
      <c r="G153">
        <v>0.05</v>
      </c>
      <c r="H153" s="1">
        <v>45660</v>
      </c>
      <c r="I153">
        <v>413.36</v>
      </c>
      <c r="J153" t="s">
        <v>87</v>
      </c>
      <c r="K153">
        <f t="shared" ca="1" si="4"/>
        <v>46080.739590509256</v>
      </c>
    </row>
    <row r="154" spans="1:11" x14ac:dyDescent="0.3">
      <c r="A154" t="s">
        <v>38</v>
      </c>
      <c r="B154" t="s">
        <v>32</v>
      </c>
      <c r="C154" s="2" t="s">
        <v>13</v>
      </c>
      <c r="D154" s="2" t="s">
        <v>30</v>
      </c>
      <c r="E154">
        <v>862.19</v>
      </c>
      <c r="F154">
        <v>18</v>
      </c>
      <c r="G154">
        <v>0.05</v>
      </c>
      <c r="H154" s="1">
        <v>45663</v>
      </c>
      <c r="I154">
        <v>286.68</v>
      </c>
      <c r="J154" t="s">
        <v>87</v>
      </c>
      <c r="K154">
        <f t="shared" ca="1" si="4"/>
        <v>46080.739590509256</v>
      </c>
    </row>
    <row r="155" spans="1:11" x14ac:dyDescent="0.3">
      <c r="A155" t="s">
        <v>81</v>
      </c>
      <c r="B155" t="s">
        <v>63</v>
      </c>
      <c r="C155" s="2" t="s">
        <v>27</v>
      </c>
      <c r="D155" s="2" t="s">
        <v>18</v>
      </c>
      <c r="E155">
        <v>1171.18</v>
      </c>
      <c r="F155">
        <v>19</v>
      </c>
      <c r="G155">
        <v>0.05</v>
      </c>
      <c r="H155" s="1">
        <v>45667</v>
      </c>
      <c r="I155">
        <v>556.30999999999995</v>
      </c>
      <c r="J155" t="s">
        <v>87</v>
      </c>
      <c r="K155">
        <f t="shared" ca="1" si="4"/>
        <v>46080.739590509256</v>
      </c>
    </row>
    <row r="156" spans="1:11" x14ac:dyDescent="0.3">
      <c r="A156" t="s">
        <v>62</v>
      </c>
      <c r="B156" t="s">
        <v>17</v>
      </c>
      <c r="C156" s="2" t="s">
        <v>23</v>
      </c>
      <c r="D156" s="2" t="s">
        <v>30</v>
      </c>
      <c r="E156">
        <v>1054.56</v>
      </c>
      <c r="F156">
        <v>11</v>
      </c>
      <c r="G156">
        <v>0.1</v>
      </c>
      <c r="H156" s="1">
        <v>45669</v>
      </c>
      <c r="I156">
        <v>332.19</v>
      </c>
      <c r="J156" t="s">
        <v>87</v>
      </c>
      <c r="K156">
        <f t="shared" ca="1" si="4"/>
        <v>46080.739590509256</v>
      </c>
    </row>
    <row r="157" spans="1:11" x14ac:dyDescent="0.3">
      <c r="A157" t="s">
        <v>62</v>
      </c>
      <c r="B157" t="s">
        <v>26</v>
      </c>
      <c r="C157" s="2" t="s">
        <v>27</v>
      </c>
      <c r="D157" s="2" t="s">
        <v>24</v>
      </c>
      <c r="E157">
        <v>1681.21</v>
      </c>
      <c r="F157">
        <v>5</v>
      </c>
      <c r="G157">
        <v>0.2</v>
      </c>
      <c r="H157" s="1">
        <v>45670</v>
      </c>
      <c r="I157">
        <v>336.24</v>
      </c>
      <c r="J157" t="s">
        <v>87</v>
      </c>
      <c r="K157">
        <f t="shared" ca="1" si="4"/>
        <v>46080.739590509256</v>
      </c>
    </row>
    <row r="158" spans="1:11" x14ac:dyDescent="0.3">
      <c r="A158" t="s">
        <v>62</v>
      </c>
      <c r="B158" t="s">
        <v>39</v>
      </c>
      <c r="C158" s="2" t="s">
        <v>13</v>
      </c>
      <c r="D158" s="2" t="s">
        <v>18</v>
      </c>
      <c r="E158">
        <v>379.77</v>
      </c>
      <c r="F158">
        <v>9</v>
      </c>
      <c r="G158">
        <v>0.05</v>
      </c>
      <c r="H158" s="1">
        <v>45673</v>
      </c>
      <c r="I158">
        <v>180.39</v>
      </c>
      <c r="J158" t="s">
        <v>87</v>
      </c>
      <c r="K158">
        <f t="shared" ca="1" si="4"/>
        <v>46080.739590509256</v>
      </c>
    </row>
    <row r="159" spans="1:11" x14ac:dyDescent="0.3">
      <c r="A159" t="s">
        <v>47</v>
      </c>
      <c r="B159" t="s">
        <v>48</v>
      </c>
      <c r="C159" s="2" t="s">
        <v>37</v>
      </c>
      <c r="D159" s="2" t="s">
        <v>18</v>
      </c>
      <c r="E159">
        <v>1076.33</v>
      </c>
      <c r="F159">
        <v>2</v>
      </c>
      <c r="G159">
        <v>0.1</v>
      </c>
      <c r="H159" s="1">
        <v>45674</v>
      </c>
      <c r="I159">
        <v>484.35</v>
      </c>
      <c r="J159" t="s">
        <v>87</v>
      </c>
      <c r="K159">
        <f t="shared" ca="1" si="4"/>
        <v>46080.739590509256</v>
      </c>
    </row>
    <row r="160" spans="1:11" x14ac:dyDescent="0.3">
      <c r="A160" t="s">
        <v>47</v>
      </c>
      <c r="B160" t="s">
        <v>34</v>
      </c>
      <c r="C160" s="2" t="s">
        <v>37</v>
      </c>
      <c r="D160" s="2" t="s">
        <v>42</v>
      </c>
      <c r="E160">
        <v>1250.71</v>
      </c>
      <c r="F160">
        <v>7</v>
      </c>
      <c r="G160">
        <v>0</v>
      </c>
      <c r="H160" s="1">
        <v>45674</v>
      </c>
      <c r="I160">
        <v>562.82000000000005</v>
      </c>
      <c r="J160" t="s">
        <v>87</v>
      </c>
      <c r="K160">
        <f t="shared" ca="1" si="4"/>
        <v>46080.739590509256</v>
      </c>
    </row>
    <row r="161" spans="1:11" x14ac:dyDescent="0.3">
      <c r="A161" t="s">
        <v>43</v>
      </c>
      <c r="B161" t="s">
        <v>20</v>
      </c>
      <c r="C161" s="2" t="s">
        <v>23</v>
      </c>
      <c r="D161" s="2" t="s">
        <v>18</v>
      </c>
      <c r="E161">
        <v>1118.3399999999999</v>
      </c>
      <c r="F161">
        <v>6</v>
      </c>
      <c r="G161">
        <v>0.2</v>
      </c>
      <c r="H161" s="1">
        <v>45674</v>
      </c>
      <c r="I161">
        <v>447.34</v>
      </c>
      <c r="J161" t="s">
        <v>87</v>
      </c>
      <c r="K161">
        <f t="shared" ca="1" si="4"/>
        <v>46080.739590509256</v>
      </c>
    </row>
    <row r="162" spans="1:11" x14ac:dyDescent="0.3">
      <c r="A162" t="s">
        <v>76</v>
      </c>
      <c r="B162" t="s">
        <v>57</v>
      </c>
      <c r="C162" s="2" t="s">
        <v>27</v>
      </c>
      <c r="D162" s="2" t="s">
        <v>18</v>
      </c>
      <c r="E162">
        <v>1622.62</v>
      </c>
      <c r="F162">
        <v>12</v>
      </c>
      <c r="G162">
        <v>0.2</v>
      </c>
      <c r="H162" s="1">
        <v>45677</v>
      </c>
      <c r="I162">
        <v>649.04999999999995</v>
      </c>
      <c r="J162" t="s">
        <v>87</v>
      </c>
      <c r="K162">
        <f t="shared" ref="K162:K193" ca="1" si="5">NOW()</f>
        <v>46080.739590509256</v>
      </c>
    </row>
    <row r="163" spans="1:11" x14ac:dyDescent="0.3">
      <c r="A163" t="s">
        <v>83</v>
      </c>
      <c r="B163" t="s">
        <v>52</v>
      </c>
      <c r="C163" s="2" t="s">
        <v>27</v>
      </c>
      <c r="D163" s="2" t="s">
        <v>14</v>
      </c>
      <c r="E163">
        <v>640.64</v>
      </c>
      <c r="F163">
        <v>11</v>
      </c>
      <c r="G163">
        <v>0.2</v>
      </c>
      <c r="H163" s="1">
        <v>45678</v>
      </c>
      <c r="I163">
        <v>205</v>
      </c>
      <c r="J163" t="s">
        <v>87</v>
      </c>
      <c r="K163">
        <f t="shared" ca="1" si="5"/>
        <v>46080.739590509256</v>
      </c>
    </row>
    <row r="164" spans="1:11" x14ac:dyDescent="0.3">
      <c r="A164" t="s">
        <v>25</v>
      </c>
      <c r="B164" t="s">
        <v>46</v>
      </c>
      <c r="C164" s="2" t="s">
        <v>13</v>
      </c>
      <c r="D164" s="2" t="s">
        <v>18</v>
      </c>
      <c r="E164">
        <v>585.16</v>
      </c>
      <c r="F164">
        <v>17</v>
      </c>
      <c r="G164">
        <v>0.1</v>
      </c>
      <c r="H164" s="1">
        <v>45684</v>
      </c>
      <c r="I164">
        <v>263.32</v>
      </c>
      <c r="J164" t="s">
        <v>87</v>
      </c>
      <c r="K164">
        <f t="shared" ca="1" si="5"/>
        <v>46080.739590509256</v>
      </c>
    </row>
    <row r="165" spans="1:11" x14ac:dyDescent="0.3">
      <c r="A165" t="s">
        <v>25</v>
      </c>
      <c r="B165" t="s">
        <v>34</v>
      </c>
      <c r="C165" s="2" t="s">
        <v>21</v>
      </c>
      <c r="D165" s="2" t="s">
        <v>18</v>
      </c>
      <c r="E165">
        <v>1109.98</v>
      </c>
      <c r="F165">
        <v>5</v>
      </c>
      <c r="G165">
        <v>0.2</v>
      </c>
      <c r="H165" s="1">
        <v>45690</v>
      </c>
      <c r="I165">
        <v>443.99</v>
      </c>
      <c r="J165" t="s">
        <v>88</v>
      </c>
      <c r="K165">
        <f t="shared" ca="1" si="5"/>
        <v>46080.739590509256</v>
      </c>
    </row>
    <row r="166" spans="1:11" x14ac:dyDescent="0.3">
      <c r="A166" t="s">
        <v>62</v>
      </c>
      <c r="B166" t="s">
        <v>48</v>
      </c>
      <c r="C166" s="2" t="s">
        <v>21</v>
      </c>
      <c r="D166" s="2" t="s">
        <v>14</v>
      </c>
      <c r="E166">
        <v>1098.08</v>
      </c>
      <c r="F166">
        <v>9</v>
      </c>
      <c r="G166">
        <v>0.1</v>
      </c>
      <c r="H166" s="1">
        <v>45692</v>
      </c>
      <c r="I166">
        <v>395.31</v>
      </c>
      <c r="J166" t="s">
        <v>88</v>
      </c>
      <c r="K166">
        <f t="shared" ca="1" si="5"/>
        <v>46080.739590509256</v>
      </c>
    </row>
    <row r="167" spans="1:11" x14ac:dyDescent="0.3">
      <c r="A167" t="s">
        <v>70</v>
      </c>
      <c r="B167" t="s">
        <v>52</v>
      </c>
      <c r="C167" s="2" t="s">
        <v>13</v>
      </c>
      <c r="D167" s="2" t="s">
        <v>42</v>
      </c>
      <c r="E167">
        <v>827.25</v>
      </c>
      <c r="F167">
        <v>7</v>
      </c>
      <c r="G167">
        <v>0.1</v>
      </c>
      <c r="H167" s="1">
        <v>45693</v>
      </c>
      <c r="I167">
        <v>335.04</v>
      </c>
      <c r="J167" t="s">
        <v>88</v>
      </c>
      <c r="K167">
        <f t="shared" ca="1" si="5"/>
        <v>46080.739590509256</v>
      </c>
    </row>
    <row r="168" spans="1:11" x14ac:dyDescent="0.3">
      <c r="A168" t="s">
        <v>76</v>
      </c>
      <c r="B168" t="s">
        <v>32</v>
      </c>
      <c r="C168" s="2" t="s">
        <v>37</v>
      </c>
      <c r="D168" s="2" t="s">
        <v>18</v>
      </c>
      <c r="E168">
        <v>741.88</v>
      </c>
      <c r="F168">
        <v>16</v>
      </c>
      <c r="G168">
        <v>0.1</v>
      </c>
      <c r="H168" s="1">
        <v>45695</v>
      </c>
      <c r="I168">
        <v>333.85</v>
      </c>
      <c r="J168" t="s">
        <v>88</v>
      </c>
      <c r="K168">
        <f t="shared" ca="1" si="5"/>
        <v>46080.739590509256</v>
      </c>
    </row>
    <row r="169" spans="1:11" x14ac:dyDescent="0.3">
      <c r="A169" t="s">
        <v>79</v>
      </c>
      <c r="B169" t="s">
        <v>12</v>
      </c>
      <c r="C169" s="2" t="s">
        <v>21</v>
      </c>
      <c r="D169" s="2" t="s">
        <v>42</v>
      </c>
      <c r="E169">
        <v>1311.26</v>
      </c>
      <c r="F169">
        <v>6</v>
      </c>
      <c r="G169">
        <v>0.1</v>
      </c>
      <c r="H169" s="1">
        <v>45698</v>
      </c>
      <c r="I169">
        <v>531.05999999999995</v>
      </c>
      <c r="J169" t="s">
        <v>88</v>
      </c>
      <c r="K169">
        <f t="shared" ca="1" si="5"/>
        <v>46080.739590509256</v>
      </c>
    </row>
    <row r="170" spans="1:11" x14ac:dyDescent="0.3">
      <c r="A170" t="s">
        <v>79</v>
      </c>
      <c r="B170" t="s">
        <v>34</v>
      </c>
      <c r="C170" s="2" t="s">
        <v>23</v>
      </c>
      <c r="D170" s="2" t="s">
        <v>42</v>
      </c>
      <c r="E170">
        <v>573.32000000000005</v>
      </c>
      <c r="F170">
        <v>19</v>
      </c>
      <c r="G170">
        <v>0.1</v>
      </c>
      <c r="H170" s="1">
        <v>45703</v>
      </c>
      <c r="I170">
        <v>232.19</v>
      </c>
      <c r="J170" t="s">
        <v>88</v>
      </c>
      <c r="K170">
        <f t="shared" ca="1" si="5"/>
        <v>46080.739590509256</v>
      </c>
    </row>
    <row r="171" spans="1:11" x14ac:dyDescent="0.3">
      <c r="A171" t="s">
        <v>56</v>
      </c>
      <c r="B171" t="s">
        <v>26</v>
      </c>
      <c r="C171" s="2" t="s">
        <v>13</v>
      </c>
      <c r="D171" s="2" t="s">
        <v>24</v>
      </c>
      <c r="E171">
        <v>1115.22</v>
      </c>
      <c r="F171">
        <v>14</v>
      </c>
      <c r="G171">
        <v>0.2</v>
      </c>
      <c r="H171" s="1">
        <v>45705</v>
      </c>
      <c r="I171">
        <v>223.04</v>
      </c>
      <c r="J171" t="s">
        <v>88</v>
      </c>
      <c r="K171">
        <f t="shared" ca="1" si="5"/>
        <v>46080.739590509256</v>
      </c>
    </row>
    <row r="172" spans="1:11" x14ac:dyDescent="0.3">
      <c r="A172" t="s">
        <v>16</v>
      </c>
      <c r="B172" t="s">
        <v>48</v>
      </c>
      <c r="C172" s="2" t="s">
        <v>27</v>
      </c>
      <c r="D172" s="2" t="s">
        <v>18</v>
      </c>
      <c r="E172">
        <v>845.84</v>
      </c>
      <c r="F172">
        <v>4</v>
      </c>
      <c r="G172">
        <v>0</v>
      </c>
      <c r="H172" s="1">
        <v>45707</v>
      </c>
      <c r="I172">
        <v>422.92</v>
      </c>
      <c r="J172" t="s">
        <v>88</v>
      </c>
      <c r="K172">
        <f t="shared" ca="1" si="5"/>
        <v>46080.739590509256</v>
      </c>
    </row>
    <row r="173" spans="1:11" x14ac:dyDescent="0.3">
      <c r="A173" t="s">
        <v>33</v>
      </c>
      <c r="B173" t="s">
        <v>59</v>
      </c>
      <c r="C173" s="2" t="s">
        <v>13</v>
      </c>
      <c r="D173" s="2" t="s">
        <v>24</v>
      </c>
      <c r="E173">
        <v>1029.8</v>
      </c>
      <c r="F173">
        <v>3</v>
      </c>
      <c r="G173">
        <v>0</v>
      </c>
      <c r="H173" s="1">
        <v>45708</v>
      </c>
      <c r="I173">
        <v>257.45</v>
      </c>
      <c r="J173" t="s">
        <v>88</v>
      </c>
      <c r="K173">
        <f t="shared" ca="1" si="5"/>
        <v>46080.739590509256</v>
      </c>
    </row>
    <row r="174" spans="1:11" x14ac:dyDescent="0.3">
      <c r="A174" t="s">
        <v>35</v>
      </c>
      <c r="B174" t="s">
        <v>34</v>
      </c>
      <c r="C174" s="2" t="s">
        <v>27</v>
      </c>
      <c r="D174" s="2" t="s">
        <v>14</v>
      </c>
      <c r="E174">
        <v>1189.83</v>
      </c>
      <c r="F174">
        <v>2</v>
      </c>
      <c r="G174">
        <v>0.2</v>
      </c>
      <c r="H174" s="1">
        <v>45709</v>
      </c>
      <c r="I174">
        <v>380.75</v>
      </c>
      <c r="J174" t="s">
        <v>88</v>
      </c>
      <c r="K174">
        <f t="shared" ca="1" si="5"/>
        <v>46080.739590509256</v>
      </c>
    </row>
    <row r="175" spans="1:11" x14ac:dyDescent="0.3">
      <c r="A175" t="s">
        <v>72</v>
      </c>
      <c r="B175" t="s">
        <v>46</v>
      </c>
      <c r="C175" s="2" t="s">
        <v>23</v>
      </c>
      <c r="D175" s="2" t="s">
        <v>14</v>
      </c>
      <c r="E175">
        <v>704.28</v>
      </c>
      <c r="F175">
        <v>15</v>
      </c>
      <c r="G175">
        <v>0.2</v>
      </c>
      <c r="H175" s="1">
        <v>45712</v>
      </c>
      <c r="I175">
        <v>225.37</v>
      </c>
      <c r="J175" t="s">
        <v>88</v>
      </c>
      <c r="K175">
        <f t="shared" ca="1" si="5"/>
        <v>46080.739590509256</v>
      </c>
    </row>
    <row r="176" spans="1:11" x14ac:dyDescent="0.3">
      <c r="A176" t="s">
        <v>70</v>
      </c>
      <c r="B176" t="s">
        <v>50</v>
      </c>
      <c r="C176" s="2" t="s">
        <v>37</v>
      </c>
      <c r="D176" s="2" t="s">
        <v>42</v>
      </c>
      <c r="E176">
        <v>1618.22</v>
      </c>
      <c r="F176">
        <v>12</v>
      </c>
      <c r="G176">
        <v>0.2</v>
      </c>
      <c r="H176" s="1">
        <v>45712</v>
      </c>
      <c r="I176">
        <v>582.55999999999995</v>
      </c>
      <c r="J176" t="s">
        <v>88</v>
      </c>
      <c r="K176">
        <f t="shared" ca="1" si="5"/>
        <v>46080.739590509256</v>
      </c>
    </row>
    <row r="177" spans="1:11" x14ac:dyDescent="0.3">
      <c r="A177" t="s">
        <v>81</v>
      </c>
      <c r="B177" t="s">
        <v>57</v>
      </c>
      <c r="C177" s="2" t="s">
        <v>37</v>
      </c>
      <c r="D177" s="2" t="s">
        <v>14</v>
      </c>
      <c r="E177">
        <v>1014.43</v>
      </c>
      <c r="F177">
        <v>2</v>
      </c>
      <c r="G177">
        <v>0.15</v>
      </c>
      <c r="H177" s="1">
        <v>45713</v>
      </c>
      <c r="I177">
        <v>344.91</v>
      </c>
      <c r="J177" t="s">
        <v>88</v>
      </c>
      <c r="K177">
        <f t="shared" ca="1" si="5"/>
        <v>46080.739590509256</v>
      </c>
    </row>
    <row r="178" spans="1:11" x14ac:dyDescent="0.3">
      <c r="A178" t="s">
        <v>83</v>
      </c>
      <c r="B178" t="s">
        <v>34</v>
      </c>
      <c r="C178" s="2" t="s">
        <v>37</v>
      </c>
      <c r="D178" s="2" t="s">
        <v>18</v>
      </c>
      <c r="E178">
        <v>826.97</v>
      </c>
      <c r="F178">
        <v>18</v>
      </c>
      <c r="G178">
        <v>0.2</v>
      </c>
      <c r="H178" s="1">
        <v>45715</v>
      </c>
      <c r="I178">
        <v>330.79</v>
      </c>
      <c r="J178" t="s">
        <v>88</v>
      </c>
      <c r="K178">
        <f t="shared" ca="1" si="5"/>
        <v>46080.739590509256</v>
      </c>
    </row>
    <row r="179" spans="1:11" x14ac:dyDescent="0.3">
      <c r="A179" t="s">
        <v>19</v>
      </c>
      <c r="B179" t="s">
        <v>34</v>
      </c>
      <c r="C179" s="2" t="s">
        <v>37</v>
      </c>
      <c r="D179" s="2" t="s">
        <v>18</v>
      </c>
      <c r="E179">
        <v>1022.23</v>
      </c>
      <c r="F179">
        <v>8</v>
      </c>
      <c r="G179">
        <v>0.1</v>
      </c>
      <c r="H179" s="1">
        <v>45717</v>
      </c>
      <c r="I179">
        <v>460</v>
      </c>
      <c r="J179" t="s">
        <v>89</v>
      </c>
      <c r="K179">
        <f t="shared" ca="1" si="5"/>
        <v>46080.739590509256</v>
      </c>
    </row>
    <row r="180" spans="1:11" x14ac:dyDescent="0.3">
      <c r="A180" t="s">
        <v>79</v>
      </c>
      <c r="B180" t="s">
        <v>32</v>
      </c>
      <c r="C180" s="2" t="s">
        <v>21</v>
      </c>
      <c r="D180" s="2" t="s">
        <v>14</v>
      </c>
      <c r="E180">
        <v>1099.69</v>
      </c>
      <c r="F180">
        <v>6</v>
      </c>
      <c r="G180">
        <v>0</v>
      </c>
      <c r="H180" s="1">
        <v>45718</v>
      </c>
      <c r="I180">
        <v>439.88</v>
      </c>
      <c r="J180" t="s">
        <v>89</v>
      </c>
      <c r="K180">
        <f t="shared" ca="1" si="5"/>
        <v>46080.739590509256</v>
      </c>
    </row>
    <row r="181" spans="1:11" x14ac:dyDescent="0.3">
      <c r="A181" t="s">
        <v>56</v>
      </c>
      <c r="B181" t="s">
        <v>69</v>
      </c>
      <c r="C181" s="2" t="s">
        <v>27</v>
      </c>
      <c r="D181" s="2" t="s">
        <v>14</v>
      </c>
      <c r="E181">
        <v>710.52</v>
      </c>
      <c r="F181">
        <v>8</v>
      </c>
      <c r="G181">
        <v>0.1</v>
      </c>
      <c r="H181" s="1">
        <v>45721</v>
      </c>
      <c r="I181">
        <v>255.79</v>
      </c>
      <c r="J181" t="s">
        <v>89</v>
      </c>
      <c r="K181">
        <f t="shared" ca="1" si="5"/>
        <v>46080.739590509256</v>
      </c>
    </row>
    <row r="182" spans="1:11" x14ac:dyDescent="0.3">
      <c r="A182" t="s">
        <v>56</v>
      </c>
      <c r="B182" t="s">
        <v>63</v>
      </c>
      <c r="C182" s="2" t="s">
        <v>27</v>
      </c>
      <c r="D182" s="2" t="s">
        <v>14</v>
      </c>
      <c r="E182">
        <v>499.18</v>
      </c>
      <c r="F182">
        <v>15</v>
      </c>
      <c r="G182">
        <v>0.2</v>
      </c>
      <c r="H182" s="1">
        <v>45724</v>
      </c>
      <c r="I182">
        <v>159.74</v>
      </c>
      <c r="J182" t="s">
        <v>89</v>
      </c>
      <c r="K182">
        <f t="shared" ca="1" si="5"/>
        <v>46080.739590509256</v>
      </c>
    </row>
    <row r="183" spans="1:11" x14ac:dyDescent="0.3">
      <c r="A183" t="s">
        <v>40</v>
      </c>
      <c r="B183" t="s">
        <v>41</v>
      </c>
      <c r="C183" s="2" t="s">
        <v>23</v>
      </c>
      <c r="D183" s="2" t="s">
        <v>14</v>
      </c>
      <c r="E183">
        <v>1064.19</v>
      </c>
      <c r="F183">
        <v>18</v>
      </c>
      <c r="G183">
        <v>0.05</v>
      </c>
      <c r="H183" s="1">
        <v>45725</v>
      </c>
      <c r="I183">
        <v>404.39</v>
      </c>
      <c r="J183" t="s">
        <v>89</v>
      </c>
      <c r="K183">
        <f t="shared" ca="1" si="5"/>
        <v>46080.739590509256</v>
      </c>
    </row>
    <row r="184" spans="1:11" x14ac:dyDescent="0.3">
      <c r="A184" t="s">
        <v>72</v>
      </c>
      <c r="B184" t="s">
        <v>41</v>
      </c>
      <c r="C184" s="2" t="s">
        <v>21</v>
      </c>
      <c r="D184" s="2" t="s">
        <v>42</v>
      </c>
      <c r="E184">
        <v>438.76</v>
      </c>
      <c r="F184">
        <v>18</v>
      </c>
      <c r="G184">
        <v>0.05</v>
      </c>
      <c r="H184" s="1">
        <v>45726</v>
      </c>
      <c r="I184">
        <v>187.57</v>
      </c>
      <c r="J184" t="s">
        <v>89</v>
      </c>
      <c r="K184">
        <f t="shared" ca="1" si="5"/>
        <v>46080.739590509256</v>
      </c>
    </row>
    <row r="185" spans="1:11" x14ac:dyDescent="0.3">
      <c r="A185" t="s">
        <v>44</v>
      </c>
      <c r="B185" t="s">
        <v>59</v>
      </c>
      <c r="C185" s="2" t="s">
        <v>13</v>
      </c>
      <c r="D185" s="2" t="s">
        <v>18</v>
      </c>
      <c r="E185">
        <v>864.98</v>
      </c>
      <c r="F185">
        <v>2</v>
      </c>
      <c r="G185">
        <v>0.05</v>
      </c>
      <c r="H185" s="1">
        <v>45727</v>
      </c>
      <c r="I185">
        <v>410.87</v>
      </c>
      <c r="J185" t="s">
        <v>89</v>
      </c>
      <c r="K185">
        <f t="shared" ca="1" si="5"/>
        <v>46080.739590509256</v>
      </c>
    </row>
    <row r="186" spans="1:11" x14ac:dyDescent="0.3">
      <c r="A186" t="s">
        <v>61</v>
      </c>
      <c r="B186" t="s">
        <v>59</v>
      </c>
      <c r="C186" s="2" t="s">
        <v>13</v>
      </c>
      <c r="D186" s="2" t="s">
        <v>30</v>
      </c>
      <c r="E186">
        <v>984.93</v>
      </c>
      <c r="F186">
        <v>14</v>
      </c>
      <c r="G186">
        <v>0.2</v>
      </c>
      <c r="H186" s="1">
        <v>45733</v>
      </c>
      <c r="I186">
        <v>275.77999999999997</v>
      </c>
      <c r="J186" t="s">
        <v>89</v>
      </c>
      <c r="K186">
        <f t="shared" ca="1" si="5"/>
        <v>46080.739590509256</v>
      </c>
    </row>
    <row r="187" spans="1:11" x14ac:dyDescent="0.3">
      <c r="A187" t="s">
        <v>28</v>
      </c>
      <c r="B187" t="s">
        <v>59</v>
      </c>
      <c r="C187" s="2" t="s">
        <v>13</v>
      </c>
      <c r="D187" s="2" t="s">
        <v>18</v>
      </c>
      <c r="E187">
        <v>1493.49</v>
      </c>
      <c r="F187">
        <v>18</v>
      </c>
      <c r="G187">
        <v>0</v>
      </c>
      <c r="H187" s="1">
        <v>45734</v>
      </c>
      <c r="I187">
        <v>746.74</v>
      </c>
      <c r="J187" t="s">
        <v>89</v>
      </c>
      <c r="K187">
        <f t="shared" ca="1" si="5"/>
        <v>46080.739590509256</v>
      </c>
    </row>
    <row r="188" spans="1:11" x14ac:dyDescent="0.3">
      <c r="A188" t="s">
        <v>35</v>
      </c>
      <c r="B188" t="s">
        <v>57</v>
      </c>
      <c r="C188" s="2" t="s">
        <v>23</v>
      </c>
      <c r="D188" s="2" t="s">
        <v>18</v>
      </c>
      <c r="E188">
        <v>689.43</v>
      </c>
      <c r="F188">
        <v>9</v>
      </c>
      <c r="G188">
        <v>0.1</v>
      </c>
      <c r="H188" s="1">
        <v>45736</v>
      </c>
      <c r="I188">
        <v>310.24</v>
      </c>
      <c r="J188" t="s">
        <v>89</v>
      </c>
      <c r="K188">
        <f t="shared" ca="1" si="5"/>
        <v>46080.739590509256</v>
      </c>
    </row>
    <row r="189" spans="1:11" x14ac:dyDescent="0.3">
      <c r="A189" t="s">
        <v>43</v>
      </c>
      <c r="B189" t="s">
        <v>63</v>
      </c>
      <c r="C189" s="2" t="s">
        <v>23</v>
      </c>
      <c r="D189" s="2" t="s">
        <v>18</v>
      </c>
      <c r="E189">
        <v>682.24</v>
      </c>
      <c r="F189">
        <v>1</v>
      </c>
      <c r="G189">
        <v>0</v>
      </c>
      <c r="H189" s="1">
        <v>45738</v>
      </c>
      <c r="I189">
        <v>341.12</v>
      </c>
      <c r="J189" t="s">
        <v>89</v>
      </c>
      <c r="K189">
        <f t="shared" ca="1" si="5"/>
        <v>46080.739590509256</v>
      </c>
    </row>
    <row r="190" spans="1:11" x14ac:dyDescent="0.3">
      <c r="A190" t="s">
        <v>44</v>
      </c>
      <c r="B190" t="s">
        <v>29</v>
      </c>
      <c r="C190" s="2" t="s">
        <v>27</v>
      </c>
      <c r="D190" s="2" t="s">
        <v>24</v>
      </c>
      <c r="E190">
        <v>458.54</v>
      </c>
      <c r="F190">
        <v>15</v>
      </c>
      <c r="G190">
        <v>0.2</v>
      </c>
      <c r="H190" s="1">
        <v>45741</v>
      </c>
      <c r="I190">
        <v>91.71</v>
      </c>
      <c r="J190" t="s">
        <v>89</v>
      </c>
      <c r="K190">
        <f t="shared" ca="1" si="5"/>
        <v>46080.739590509256</v>
      </c>
    </row>
    <row r="191" spans="1:11" x14ac:dyDescent="0.3">
      <c r="A191" t="s">
        <v>35</v>
      </c>
      <c r="B191" t="s">
        <v>29</v>
      </c>
      <c r="C191" s="2" t="s">
        <v>23</v>
      </c>
      <c r="D191" s="2" t="s">
        <v>30</v>
      </c>
      <c r="E191">
        <v>1184.25</v>
      </c>
      <c r="F191">
        <v>11</v>
      </c>
      <c r="G191">
        <v>0.2</v>
      </c>
      <c r="H191" s="1">
        <v>45742</v>
      </c>
      <c r="I191">
        <v>331.59</v>
      </c>
      <c r="J191" t="s">
        <v>89</v>
      </c>
      <c r="K191">
        <f t="shared" ca="1" si="5"/>
        <v>46080.739590509256</v>
      </c>
    </row>
    <row r="192" spans="1:11" x14ac:dyDescent="0.3">
      <c r="A192" t="s">
        <v>28</v>
      </c>
      <c r="B192" t="s">
        <v>12</v>
      </c>
      <c r="C192" s="2" t="s">
        <v>23</v>
      </c>
      <c r="D192" s="2" t="s">
        <v>18</v>
      </c>
      <c r="E192">
        <v>762.14</v>
      </c>
      <c r="F192">
        <v>9</v>
      </c>
      <c r="G192">
        <v>0</v>
      </c>
      <c r="H192" s="1">
        <v>45743</v>
      </c>
      <c r="I192">
        <v>381.07</v>
      </c>
      <c r="J192" t="s">
        <v>89</v>
      </c>
      <c r="K192">
        <f t="shared" ca="1" si="5"/>
        <v>46080.739590509256</v>
      </c>
    </row>
    <row r="193" spans="1:11" x14ac:dyDescent="0.3">
      <c r="A193" t="s">
        <v>25</v>
      </c>
      <c r="B193" t="s">
        <v>57</v>
      </c>
      <c r="C193" s="2" t="s">
        <v>27</v>
      </c>
      <c r="D193" s="2" t="s">
        <v>14</v>
      </c>
      <c r="E193">
        <v>750.71</v>
      </c>
      <c r="F193">
        <v>10</v>
      </c>
      <c r="G193">
        <v>0.15</v>
      </c>
      <c r="H193" s="1">
        <v>45743</v>
      </c>
      <c r="I193">
        <v>255.24</v>
      </c>
      <c r="J193" t="s">
        <v>89</v>
      </c>
      <c r="K193">
        <f t="shared" ca="1" si="5"/>
        <v>46080.739590509256</v>
      </c>
    </row>
    <row r="194" spans="1:11" x14ac:dyDescent="0.3">
      <c r="A194" t="s">
        <v>83</v>
      </c>
      <c r="B194" t="s">
        <v>78</v>
      </c>
      <c r="C194" s="2" t="s">
        <v>37</v>
      </c>
      <c r="D194" s="2" t="s">
        <v>18</v>
      </c>
      <c r="E194">
        <v>1456.94</v>
      </c>
      <c r="F194">
        <v>14</v>
      </c>
      <c r="G194">
        <v>0.05</v>
      </c>
      <c r="H194" s="1">
        <v>45745</v>
      </c>
      <c r="I194">
        <v>692.05</v>
      </c>
      <c r="J194" t="s">
        <v>89</v>
      </c>
      <c r="K194">
        <f t="shared" ref="K194:K201" ca="1" si="6">NOW()</f>
        <v>46080.739590509256</v>
      </c>
    </row>
    <row r="195" spans="1:11" x14ac:dyDescent="0.3">
      <c r="A195" t="s">
        <v>47</v>
      </c>
      <c r="B195" t="s">
        <v>65</v>
      </c>
      <c r="C195" s="2" t="s">
        <v>21</v>
      </c>
      <c r="D195" s="2" t="s">
        <v>30</v>
      </c>
      <c r="E195">
        <v>1093.3800000000001</v>
      </c>
      <c r="F195">
        <v>17</v>
      </c>
      <c r="G195">
        <v>0.1</v>
      </c>
      <c r="H195" s="1">
        <v>45745</v>
      </c>
      <c r="I195">
        <v>344.41</v>
      </c>
      <c r="J195" t="s">
        <v>89</v>
      </c>
      <c r="K195">
        <f t="shared" ca="1" si="6"/>
        <v>46080.739590509256</v>
      </c>
    </row>
    <row r="196" spans="1:11" x14ac:dyDescent="0.3">
      <c r="A196" t="s">
        <v>40</v>
      </c>
      <c r="B196" t="s">
        <v>46</v>
      </c>
      <c r="C196" s="2" t="s">
        <v>13</v>
      </c>
      <c r="D196" s="2" t="s">
        <v>18</v>
      </c>
      <c r="E196">
        <v>934.27</v>
      </c>
      <c r="F196">
        <v>8</v>
      </c>
      <c r="G196">
        <v>0.15</v>
      </c>
      <c r="H196" s="1">
        <v>45746</v>
      </c>
      <c r="I196">
        <v>397.06</v>
      </c>
      <c r="J196" t="s">
        <v>89</v>
      </c>
      <c r="K196">
        <f t="shared" ca="1" si="6"/>
        <v>46080.739590509256</v>
      </c>
    </row>
    <row r="197" spans="1:11" x14ac:dyDescent="0.3">
      <c r="A197" t="s">
        <v>76</v>
      </c>
      <c r="B197" t="s">
        <v>39</v>
      </c>
      <c r="C197" s="2" t="s">
        <v>37</v>
      </c>
      <c r="D197" s="2" t="s">
        <v>18</v>
      </c>
      <c r="E197">
        <v>1465.35</v>
      </c>
      <c r="F197">
        <v>8</v>
      </c>
      <c r="G197">
        <v>0.2</v>
      </c>
      <c r="H197" s="1">
        <v>45746</v>
      </c>
      <c r="I197">
        <v>586.14</v>
      </c>
      <c r="J197" t="s">
        <v>89</v>
      </c>
      <c r="K197">
        <f t="shared" ca="1" si="6"/>
        <v>46080.739590509256</v>
      </c>
    </row>
    <row r="198" spans="1:11" x14ac:dyDescent="0.3">
      <c r="A198" t="s">
        <v>56</v>
      </c>
      <c r="B198" t="s">
        <v>17</v>
      </c>
      <c r="C198" s="2" t="s">
        <v>23</v>
      </c>
      <c r="D198" s="2" t="s">
        <v>42</v>
      </c>
      <c r="E198">
        <v>740.8</v>
      </c>
      <c r="F198">
        <v>3</v>
      </c>
      <c r="G198">
        <v>0</v>
      </c>
      <c r="H198" s="1">
        <v>45749</v>
      </c>
      <c r="I198">
        <v>333.36</v>
      </c>
      <c r="J198" t="s">
        <v>90</v>
      </c>
      <c r="K198">
        <f t="shared" ca="1" si="6"/>
        <v>46080.739590509256</v>
      </c>
    </row>
    <row r="199" spans="1:11" x14ac:dyDescent="0.3">
      <c r="A199" t="s">
        <v>62</v>
      </c>
      <c r="B199" t="s">
        <v>46</v>
      </c>
      <c r="C199" s="2" t="s">
        <v>13</v>
      </c>
      <c r="D199" s="2" t="s">
        <v>42</v>
      </c>
      <c r="E199">
        <v>545.44000000000005</v>
      </c>
      <c r="F199">
        <v>17</v>
      </c>
      <c r="G199">
        <v>0</v>
      </c>
      <c r="H199" s="1">
        <v>45752</v>
      </c>
      <c r="I199">
        <v>245.45</v>
      </c>
      <c r="J199" t="s">
        <v>90</v>
      </c>
      <c r="K199">
        <f t="shared" ca="1" si="6"/>
        <v>46080.739590509256</v>
      </c>
    </row>
    <row r="200" spans="1:11" x14ac:dyDescent="0.3">
      <c r="A200" t="s">
        <v>38</v>
      </c>
      <c r="B200" t="s">
        <v>39</v>
      </c>
      <c r="C200" s="2" t="s">
        <v>21</v>
      </c>
      <c r="D200" s="2" t="s">
        <v>14</v>
      </c>
      <c r="E200">
        <v>997.61</v>
      </c>
      <c r="F200">
        <v>8</v>
      </c>
      <c r="G200">
        <v>0.05</v>
      </c>
      <c r="H200" s="1">
        <v>45752</v>
      </c>
      <c r="I200">
        <v>379.09</v>
      </c>
      <c r="J200" t="s">
        <v>90</v>
      </c>
      <c r="K200">
        <f t="shared" ca="1" si="6"/>
        <v>46080.739590509256</v>
      </c>
    </row>
    <row r="201" spans="1:11" x14ac:dyDescent="0.3">
      <c r="A201" t="s">
        <v>64</v>
      </c>
      <c r="B201" t="s">
        <v>39</v>
      </c>
      <c r="C201" s="2" t="s">
        <v>23</v>
      </c>
      <c r="D201" s="2" t="s">
        <v>18</v>
      </c>
      <c r="E201">
        <v>928.32</v>
      </c>
      <c r="F201">
        <v>2</v>
      </c>
      <c r="G201">
        <v>0.05</v>
      </c>
      <c r="H201" s="1">
        <v>45754</v>
      </c>
      <c r="I201">
        <v>440.95</v>
      </c>
      <c r="J201" t="s">
        <v>90</v>
      </c>
      <c r="K201">
        <f t="shared" ca="1" si="6"/>
        <v>46080.739590509256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C8" sqref="C8"/>
    </sheetView>
  </sheetViews>
  <sheetFormatPr defaultRowHeight="14.4" x14ac:dyDescent="0.3"/>
  <cols>
    <col min="1" max="1" width="11.44140625" bestFit="1" customWidth="1"/>
    <col min="2" max="2" width="12.109375" bestFit="1" customWidth="1"/>
  </cols>
  <sheetData>
    <row r="1" spans="1:2" x14ac:dyDescent="0.3">
      <c r="A1" s="3" t="s">
        <v>9</v>
      </c>
      <c r="B1" t="s">
        <v>91</v>
      </c>
    </row>
    <row r="2" spans="1:2" x14ac:dyDescent="0.3">
      <c r="A2" t="s">
        <v>15</v>
      </c>
      <c r="B2">
        <v>19029.96</v>
      </c>
    </row>
    <row r="3" spans="1:2" x14ac:dyDescent="0.3">
      <c r="A3" t="s">
        <v>51</v>
      </c>
      <c r="B3">
        <v>18507.34</v>
      </c>
    </row>
    <row r="4" spans="1:2" x14ac:dyDescent="0.3">
      <c r="A4" t="s">
        <v>66</v>
      </c>
      <c r="B4">
        <v>20187.509999999998</v>
      </c>
    </row>
    <row r="5" spans="1:2" x14ac:dyDescent="0.3">
      <c r="A5" t="s">
        <v>73</v>
      </c>
      <c r="B5">
        <v>11609.04</v>
      </c>
    </row>
    <row r="6" spans="1:2" x14ac:dyDescent="0.3">
      <c r="A6" t="s">
        <v>77</v>
      </c>
      <c r="B6">
        <v>10091.700000000001</v>
      </c>
    </row>
    <row r="7" spans="1:2" x14ac:dyDescent="0.3">
      <c r="A7" t="s">
        <v>80</v>
      </c>
      <c r="B7">
        <v>20533.5</v>
      </c>
    </row>
    <row r="8" spans="1:2" x14ac:dyDescent="0.3">
      <c r="A8" t="s">
        <v>84</v>
      </c>
      <c r="B8">
        <v>14215.24</v>
      </c>
    </row>
    <row r="9" spans="1:2" x14ac:dyDescent="0.3">
      <c r="A9" t="s">
        <v>85</v>
      </c>
      <c r="B9">
        <v>20135.03</v>
      </c>
    </row>
    <row r="10" spans="1:2" x14ac:dyDescent="0.3">
      <c r="A10" t="s">
        <v>86</v>
      </c>
      <c r="B10">
        <v>11120.04</v>
      </c>
    </row>
    <row r="11" spans="1:2" x14ac:dyDescent="0.3">
      <c r="A11" t="s">
        <v>87</v>
      </c>
      <c r="B11">
        <v>14914.65</v>
      </c>
    </row>
    <row r="12" spans="1:2" x14ac:dyDescent="0.3">
      <c r="A12" t="s">
        <v>88</v>
      </c>
      <c r="B12">
        <v>14006.36</v>
      </c>
    </row>
    <row r="13" spans="1:2" x14ac:dyDescent="0.3">
      <c r="A13" t="s">
        <v>89</v>
      </c>
      <c r="B13">
        <v>17655.22</v>
      </c>
    </row>
    <row r="14" spans="1:2" x14ac:dyDescent="0.3">
      <c r="A14" t="s">
        <v>90</v>
      </c>
      <c r="B14">
        <v>3212.17</v>
      </c>
    </row>
    <row r="15" spans="1:2" x14ac:dyDescent="0.3">
      <c r="A15" t="s">
        <v>92</v>
      </c>
      <c r="B15">
        <v>195217.76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8"/>
  <sheetViews>
    <sheetView workbookViewId="0">
      <selection activeCell="F18" sqref="F18"/>
    </sheetView>
  </sheetViews>
  <sheetFormatPr defaultRowHeight="14.4" x14ac:dyDescent="0.3"/>
  <cols>
    <col min="1" max="1" width="20" style="2" bestFit="1" customWidth="1"/>
    <col min="2" max="2" width="15.44140625" customWidth="1"/>
    <col min="3" max="5" width="12.109375" bestFit="1" customWidth="1"/>
  </cols>
  <sheetData>
    <row r="2" spans="1:3" x14ac:dyDescent="0.3">
      <c r="A2" s="3" t="s">
        <v>3</v>
      </c>
      <c r="B2" t="s">
        <v>93</v>
      </c>
      <c r="C2" t="s">
        <v>91</v>
      </c>
    </row>
    <row r="3" spans="1:3" x14ac:dyDescent="0.3">
      <c r="A3" t="s">
        <v>14</v>
      </c>
      <c r="B3">
        <v>523</v>
      </c>
      <c r="C3">
        <v>47002.460000000006</v>
      </c>
    </row>
    <row r="4" spans="1:3" x14ac:dyDescent="0.3">
      <c r="A4" t="s">
        <v>18</v>
      </c>
      <c r="B4">
        <v>386</v>
      </c>
      <c r="C4">
        <v>41927.589999999989</v>
      </c>
    </row>
    <row r="5" spans="1:3" x14ac:dyDescent="0.3">
      <c r="A5" t="s">
        <v>24</v>
      </c>
      <c r="B5">
        <v>418</v>
      </c>
      <c r="C5">
        <v>41044.000000000007</v>
      </c>
    </row>
    <row r="6" spans="1:3" x14ac:dyDescent="0.3">
      <c r="A6" t="s">
        <v>30</v>
      </c>
      <c r="B6">
        <v>354</v>
      </c>
      <c r="C6">
        <v>36612.89</v>
      </c>
    </row>
    <row r="7" spans="1:3" x14ac:dyDescent="0.3">
      <c r="A7" t="s">
        <v>42</v>
      </c>
      <c r="B7">
        <v>318</v>
      </c>
      <c r="C7">
        <v>28630.819999999989</v>
      </c>
    </row>
    <row r="8" spans="1:3" x14ac:dyDescent="0.3">
      <c r="A8" t="s">
        <v>92</v>
      </c>
      <c r="B8">
        <v>1999</v>
      </c>
      <c r="C8">
        <v>195217.76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30"/>
  <sheetViews>
    <sheetView workbookViewId="0">
      <selection activeCell="A2" sqref="A2"/>
    </sheetView>
  </sheetViews>
  <sheetFormatPr defaultRowHeight="14.4" x14ac:dyDescent="0.3"/>
  <cols>
    <col min="1" max="1" width="19" customWidth="1"/>
    <col min="2" max="2" width="12.109375" customWidth="1"/>
  </cols>
  <sheetData>
    <row r="2" spans="1:2" x14ac:dyDescent="0.3">
      <c r="A2" s="3" t="s">
        <v>1</v>
      </c>
      <c r="B2" t="s">
        <v>91</v>
      </c>
    </row>
    <row r="3" spans="1:2" x14ac:dyDescent="0.3">
      <c r="A3" t="s">
        <v>78</v>
      </c>
      <c r="B3">
        <v>5465.71</v>
      </c>
    </row>
    <row r="4" spans="1:2" x14ac:dyDescent="0.3">
      <c r="A4" t="s">
        <v>59</v>
      </c>
      <c r="B4">
        <v>11915.83</v>
      </c>
    </row>
    <row r="5" spans="1:2" x14ac:dyDescent="0.3">
      <c r="A5" t="s">
        <v>60</v>
      </c>
      <c r="B5">
        <v>3819.14</v>
      </c>
    </row>
    <row r="6" spans="1:2" x14ac:dyDescent="0.3">
      <c r="A6" t="s">
        <v>45</v>
      </c>
      <c r="B6">
        <v>1672.88</v>
      </c>
    </row>
    <row r="7" spans="1:2" x14ac:dyDescent="0.3">
      <c r="A7" t="s">
        <v>39</v>
      </c>
      <c r="B7">
        <v>7020.3799999999992</v>
      </c>
    </row>
    <row r="8" spans="1:2" x14ac:dyDescent="0.3">
      <c r="A8" t="s">
        <v>41</v>
      </c>
      <c r="B8">
        <v>11398.32</v>
      </c>
    </row>
    <row r="9" spans="1:2" x14ac:dyDescent="0.3">
      <c r="A9" t="s">
        <v>71</v>
      </c>
      <c r="B9">
        <v>5014.96</v>
      </c>
    </row>
    <row r="10" spans="1:2" x14ac:dyDescent="0.3">
      <c r="A10" t="s">
        <v>65</v>
      </c>
      <c r="B10">
        <v>8543.9699999999993</v>
      </c>
    </row>
    <row r="11" spans="1:2" x14ac:dyDescent="0.3">
      <c r="A11" t="s">
        <v>12</v>
      </c>
      <c r="B11">
        <v>6255.7</v>
      </c>
    </row>
    <row r="12" spans="1:2" x14ac:dyDescent="0.3">
      <c r="A12" t="s">
        <v>20</v>
      </c>
      <c r="B12">
        <v>5615.2800000000007</v>
      </c>
    </row>
    <row r="13" spans="1:2" x14ac:dyDescent="0.3">
      <c r="A13" t="s">
        <v>26</v>
      </c>
      <c r="B13">
        <v>20774.740000000002</v>
      </c>
    </row>
    <row r="14" spans="1:2" x14ac:dyDescent="0.3">
      <c r="A14" t="s">
        <v>55</v>
      </c>
      <c r="B14">
        <v>1450.99</v>
      </c>
    </row>
    <row r="15" spans="1:2" x14ac:dyDescent="0.3">
      <c r="A15" t="s">
        <v>54</v>
      </c>
      <c r="B15">
        <v>5801.29</v>
      </c>
    </row>
    <row r="16" spans="1:2" x14ac:dyDescent="0.3">
      <c r="A16" t="s">
        <v>67</v>
      </c>
      <c r="B16">
        <v>856.7</v>
      </c>
    </row>
    <row r="17" spans="1:2" x14ac:dyDescent="0.3">
      <c r="A17" t="s">
        <v>36</v>
      </c>
      <c r="B17">
        <v>3968.59</v>
      </c>
    </row>
    <row r="18" spans="1:2" x14ac:dyDescent="0.3">
      <c r="A18" t="s">
        <v>75</v>
      </c>
      <c r="B18">
        <v>2304.9</v>
      </c>
    </row>
    <row r="19" spans="1:2" x14ac:dyDescent="0.3">
      <c r="A19" t="s">
        <v>57</v>
      </c>
      <c r="B19">
        <v>7522.77</v>
      </c>
    </row>
    <row r="20" spans="1:2" x14ac:dyDescent="0.3">
      <c r="A20" t="s">
        <v>32</v>
      </c>
      <c r="B20">
        <v>9970.1999999999989</v>
      </c>
    </row>
    <row r="21" spans="1:2" x14ac:dyDescent="0.3">
      <c r="A21" t="s">
        <v>52</v>
      </c>
      <c r="B21">
        <v>8090.12</v>
      </c>
    </row>
    <row r="22" spans="1:2" x14ac:dyDescent="0.3">
      <c r="A22" t="s">
        <v>48</v>
      </c>
      <c r="B22">
        <v>8635.9500000000007</v>
      </c>
    </row>
    <row r="23" spans="1:2" x14ac:dyDescent="0.3">
      <c r="A23" t="s">
        <v>34</v>
      </c>
      <c r="B23">
        <v>17143.29</v>
      </c>
    </row>
    <row r="24" spans="1:2" x14ac:dyDescent="0.3">
      <c r="A24" t="s">
        <v>50</v>
      </c>
      <c r="B24">
        <v>7251.18</v>
      </c>
    </row>
    <row r="25" spans="1:2" x14ac:dyDescent="0.3">
      <c r="A25" t="s">
        <v>63</v>
      </c>
      <c r="B25">
        <v>5443.34</v>
      </c>
    </row>
    <row r="26" spans="1:2" x14ac:dyDescent="0.3">
      <c r="A26" t="s">
        <v>29</v>
      </c>
      <c r="B26">
        <v>7881.9</v>
      </c>
    </row>
    <row r="27" spans="1:2" x14ac:dyDescent="0.3">
      <c r="A27" t="s">
        <v>17</v>
      </c>
      <c r="B27">
        <v>8331.8499999999985</v>
      </c>
    </row>
    <row r="28" spans="1:2" x14ac:dyDescent="0.3">
      <c r="A28" t="s">
        <v>46</v>
      </c>
      <c r="B28">
        <v>7296.1900000000014</v>
      </c>
    </row>
    <row r="29" spans="1:2" x14ac:dyDescent="0.3">
      <c r="A29" t="s">
        <v>69</v>
      </c>
      <c r="B29">
        <v>5771.59</v>
      </c>
    </row>
    <row r="30" spans="1:2" x14ac:dyDescent="0.3">
      <c r="A30" t="s">
        <v>92</v>
      </c>
      <c r="B30">
        <v>195217.76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20" customWidth="1"/>
    <col min="2" max="2" width="12.109375" bestFit="1" customWidth="1"/>
  </cols>
  <sheetData>
    <row r="1" spans="1:2" x14ac:dyDescent="0.3">
      <c r="A1" s="3" t="s">
        <v>3</v>
      </c>
      <c r="B1" t="s">
        <v>91</v>
      </c>
    </row>
    <row r="2" spans="1:2" x14ac:dyDescent="0.3">
      <c r="A2" t="s">
        <v>14</v>
      </c>
      <c r="B2">
        <v>47002.460000000006</v>
      </c>
    </row>
    <row r="3" spans="1:2" x14ac:dyDescent="0.3">
      <c r="A3" t="s">
        <v>18</v>
      </c>
      <c r="B3">
        <v>41927.589999999989</v>
      </c>
    </row>
    <row r="4" spans="1:2" x14ac:dyDescent="0.3">
      <c r="A4" t="s">
        <v>24</v>
      </c>
      <c r="B4">
        <v>41044.000000000007</v>
      </c>
    </row>
    <row r="5" spans="1:2" x14ac:dyDescent="0.3">
      <c r="A5" t="s">
        <v>30</v>
      </c>
      <c r="B5">
        <v>36612.89</v>
      </c>
    </row>
    <row r="6" spans="1:2" x14ac:dyDescent="0.3">
      <c r="A6" t="s">
        <v>42</v>
      </c>
      <c r="B6">
        <v>28630.819999999989</v>
      </c>
    </row>
    <row r="7" spans="1:2" x14ac:dyDescent="0.3">
      <c r="A7" t="s">
        <v>92</v>
      </c>
      <c r="B7">
        <v>195217.76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Dashbord</vt:lpstr>
      <vt:lpstr>Dataset</vt:lpstr>
      <vt:lpstr>Monthly Sales</vt:lpstr>
      <vt:lpstr>Descriptive Statistic</vt:lpstr>
      <vt:lpstr>Customers Sales Per Each</vt:lpstr>
      <vt:lpstr>Category Share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Nevil Aghera</cp:lastModifiedBy>
  <cp:revision/>
  <dcterms:created xsi:type="dcterms:W3CDTF">2026-02-22T15:31:35Z</dcterms:created>
  <dcterms:modified xsi:type="dcterms:W3CDTF">2026-02-27T12:23:04Z</dcterms:modified>
  <cp:category/>
  <cp:contentStatus/>
</cp:coreProperties>
</file>